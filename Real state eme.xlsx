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zpaula\Downloads\"/>
    </mc:Choice>
  </mc:AlternateContent>
  <xr:revisionPtr revIDLastSave="0" documentId="13_ncr:1_{D75E78B7-6A3A-4456-9A2C-BFC972C6FD9F}" xr6:coauthVersionLast="47" xr6:coauthVersionMax="47" xr10:uidLastSave="{00000000-0000-0000-0000-000000000000}"/>
  <bookViews>
    <workbookView xWindow="-110" yWindow="-110" windowWidth="19420" windowHeight="10300" xr2:uid="{56F630F0-FE3E-4E80-94B2-82E459852C50}"/>
  </bookViews>
  <sheets>
    <sheet name="Organized version of 1st sheet" sheetId="3" r:id="rId1"/>
    <sheet name="Sheet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3" l="1"/>
  <c r="H20" i="3"/>
  <c r="J14" i="3"/>
  <c r="H13" i="3"/>
  <c r="J13" i="3" s="1"/>
  <c r="J12" i="3"/>
  <c r="G11" i="3"/>
  <c r="J11" i="3" s="1"/>
  <c r="J10" i="3"/>
  <c r="J9" i="3"/>
  <c r="H8" i="3"/>
  <c r="J8" i="3" s="1"/>
  <c r="H7" i="3"/>
  <c r="J7" i="3" s="1"/>
  <c r="H6" i="3"/>
  <c r="J6" i="3" s="1"/>
  <c r="H5" i="3"/>
  <c r="J5" i="3" s="1"/>
  <c r="H4" i="3"/>
  <c r="J4" i="3" s="1"/>
  <c r="J3" i="3"/>
  <c r="C22" i="3"/>
  <c r="C21" i="3"/>
  <c r="C19" i="3"/>
  <c r="C16" i="3"/>
  <c r="C14" i="3"/>
  <c r="C13" i="3"/>
  <c r="C9" i="3"/>
  <c r="C7" i="3"/>
  <c r="C6" i="3"/>
  <c r="C4" i="3"/>
  <c r="C3" i="3"/>
  <c r="G14" i="3" s="1"/>
  <c r="C23" i="3" l="1"/>
  <c r="I20" i="3"/>
  <c r="J20" i="3" s="1"/>
  <c r="K20" i="3" s="1"/>
  <c r="L20" i="3" s="1"/>
  <c r="J15" i="3"/>
</calcChain>
</file>

<file path=xl/sharedStrings.xml><?xml version="1.0" encoding="utf-8"?>
<sst xmlns="http://schemas.openxmlformats.org/spreadsheetml/2006/main" count="73" uniqueCount="65">
  <si>
    <t xml:space="preserve">Land Price </t>
  </si>
  <si>
    <t>Lahar (to cover 300 sq.m and build a house)</t>
  </si>
  <si>
    <t>Cements (90 bags)</t>
  </si>
  <si>
    <t>Hallow blocks</t>
  </si>
  <si>
    <t>Steel for H.B support</t>
  </si>
  <si>
    <t>Labor</t>
  </si>
  <si>
    <t>Cement mixer</t>
  </si>
  <si>
    <t>Windows</t>
  </si>
  <si>
    <t>Doors</t>
  </si>
  <si>
    <t>Lavatories</t>
  </si>
  <si>
    <t>Toilet</t>
  </si>
  <si>
    <t>Hose and faucets</t>
  </si>
  <si>
    <t>Water system</t>
  </si>
  <si>
    <t>Electricity system</t>
  </si>
  <si>
    <t>Paint</t>
  </si>
  <si>
    <t>Price</t>
  </si>
  <si>
    <t>Time to complete</t>
  </si>
  <si>
    <t>Clean the house (labor)</t>
  </si>
  <si>
    <t>Traces + yero</t>
  </si>
  <si>
    <t>Appliances and lights etc</t>
  </si>
  <si>
    <t>Total</t>
  </si>
  <si>
    <t>1 year and 2 months</t>
  </si>
  <si>
    <t>Tiles</t>
  </si>
  <si>
    <t>Factors</t>
  </si>
  <si>
    <t>Cost</t>
  </si>
  <si>
    <t>Faucets</t>
  </si>
  <si>
    <t>Electric fan</t>
  </si>
  <si>
    <t>Light bulbs</t>
  </si>
  <si>
    <t>Internet bill</t>
  </si>
  <si>
    <t>Wires</t>
  </si>
  <si>
    <t>Steel yero (per piece)</t>
  </si>
  <si>
    <t>Paint (per galloon)</t>
  </si>
  <si>
    <t>Water bill (per month)</t>
  </si>
  <si>
    <t>Electric bill (per month)</t>
  </si>
  <si>
    <t>All out house cleaning (annually)</t>
  </si>
  <si>
    <t>(annually) Repair / Maintenance frequency</t>
  </si>
  <si>
    <t>Quantity</t>
  </si>
  <si>
    <t>Rooms</t>
  </si>
  <si>
    <t xml:space="preserve">House type </t>
  </si>
  <si>
    <t>Bungalow</t>
  </si>
  <si>
    <t>Each room has</t>
  </si>
  <si>
    <t>1 light bulb</t>
  </si>
  <si>
    <t>3 electric fans</t>
  </si>
  <si>
    <t>Beds (18 pieces)</t>
  </si>
  <si>
    <t>3 beds</t>
  </si>
  <si>
    <t>4 wall outlets</t>
  </si>
  <si>
    <t>1 toilet</t>
  </si>
  <si>
    <t>2 faucets</t>
  </si>
  <si>
    <t>Outside light</t>
  </si>
  <si>
    <t>3 bulbs</t>
  </si>
  <si>
    <t>Internet</t>
  </si>
  <si>
    <t>1 wifi modem</t>
  </si>
  <si>
    <t>-</t>
  </si>
  <si>
    <t>Tax</t>
  </si>
  <si>
    <t>Monthly rental income</t>
  </si>
  <si>
    <t>M.R.I (18 persons)</t>
  </si>
  <si>
    <t>Expense per month</t>
  </si>
  <si>
    <t>Profit per month</t>
  </si>
  <si>
    <t>Profit in a year</t>
  </si>
  <si>
    <t>True Profit in year</t>
  </si>
  <si>
    <t>Estimated years to get back the  expenses</t>
  </si>
  <si>
    <t>Material and expenses</t>
  </si>
  <si>
    <t>Monthly expenses</t>
  </si>
  <si>
    <t>Income Calculation</t>
  </si>
  <si>
    <t>House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</si>
</sst>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-[$₱-3409]* #,##0.00_-;\-[$₱-3409]* #,##0.00_-;_-[$₱-3409]* &quot;-&quot;??_-;_-@_-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2" borderId="0" xfId="0" applyFill="1" applyAlignment="1">
      <alignment wrapText="1"/>
    </xf>
    <xf numFmtId="43" fontId="0" fillId="2" borderId="0" xfId="1" applyFont="1" applyFill="1"/>
    <xf numFmtId="0" fontId="0" fillId="0" borderId="1" xfId="0" applyBorder="1"/>
    <xf numFmtId="0" fontId="0" fillId="0" borderId="3" xfId="0" applyBorder="1"/>
    <xf numFmtId="0" fontId="0" fillId="3" borderId="1" xfId="0" applyFill="1" applyBorder="1"/>
    <xf numFmtId="0" fontId="0" fillId="4" borderId="4" xfId="0" applyFill="1" applyBorder="1"/>
    <xf numFmtId="0" fontId="0" fillId="5" borderId="4" xfId="0" applyFill="1" applyBorder="1"/>
    <xf numFmtId="0" fontId="0" fillId="3" borderId="3" xfId="0" applyFill="1" applyBorder="1"/>
    <xf numFmtId="0" fontId="0" fillId="6" borderId="5" xfId="0" applyFill="1" applyBorder="1"/>
    <xf numFmtId="0" fontId="0" fillId="6" borderId="6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8" xfId="0" applyFill="1" applyBorder="1"/>
    <xf numFmtId="0" fontId="0" fillId="7" borderId="9" xfId="0" applyFill="1" applyBorder="1"/>
    <xf numFmtId="0" fontId="0" fillId="6" borderId="7" xfId="0" applyFill="1" applyBorder="1"/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3" xfId="0" applyFill="1" applyBorder="1" applyAlignment="1">
      <alignment wrapText="1"/>
    </xf>
    <xf numFmtId="44" fontId="0" fillId="0" borderId="2" xfId="0" applyNumberFormat="1" applyBorder="1"/>
    <xf numFmtId="43" fontId="0" fillId="3" borderId="1" xfId="0" applyNumberFormat="1" applyFill="1" applyBorder="1" applyAlignment="1">
      <alignment wrapText="1"/>
    </xf>
    <xf numFmtId="44" fontId="0" fillId="3" borderId="2" xfId="0" applyNumberFormat="1" applyFill="1" applyBorder="1"/>
    <xf numFmtId="0" fontId="0" fillId="0" borderId="3" xfId="0" applyBorder="1" applyAlignment="1">
      <alignment wrapText="1"/>
    </xf>
    <xf numFmtId="0" fontId="0" fillId="6" borderId="6" xfId="0" applyFill="1" applyBorder="1" applyAlignment="1">
      <alignment wrapText="1"/>
    </xf>
    <xf numFmtId="164" fontId="0" fillId="7" borderId="6" xfId="0" applyNumberFormat="1" applyFill="1" applyBorder="1"/>
    <xf numFmtId="164" fontId="0" fillId="7" borderId="7" xfId="0" applyNumberFormat="1" applyFill="1" applyBorder="1"/>
    <xf numFmtId="164" fontId="0" fillId="6" borderId="6" xfId="0" applyNumberFormat="1" applyFill="1" applyBorder="1"/>
    <xf numFmtId="165" fontId="0" fillId="6" borderId="6" xfId="0" applyNumberFormat="1" applyFill="1" applyBorder="1"/>
    <xf numFmtId="164" fontId="0" fillId="6" borderId="7" xfId="0" applyNumberFormat="1" applyFill="1" applyBorder="1"/>
    <xf numFmtId="0" fontId="0" fillId="6" borderId="5" xfId="0" applyFill="1" applyBorder="1" applyAlignment="1">
      <alignment wrapText="1"/>
    </xf>
    <xf numFmtId="2" fontId="0" fillId="7" borderId="6" xfId="0" applyNumberFormat="1" applyFill="1" applyBorder="1"/>
    <xf numFmtId="44" fontId="0" fillId="6" borderId="6" xfId="0" applyNumberFormat="1" applyFill="1" applyBorder="1"/>
    <xf numFmtId="164" fontId="0" fillId="7" borderId="9" xfId="0" applyNumberFormat="1" applyFill="1" applyBorder="1"/>
    <xf numFmtId="164" fontId="0" fillId="7" borderId="10" xfId="0" applyNumberFormat="1" applyFill="1" applyBorder="1"/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3" xfId="0" applyFill="1" applyBorder="1" applyAlignment="1">
      <alignment horizontal="center"/>
    </xf>
    <xf numFmtId="164" fontId="0" fillId="0" borderId="2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820662711095903"/>
          <c:y val="3.4591944743969781E-2"/>
          <c:w val="0.27657596949036561"/>
          <c:h val="0.95389830732206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'Organized version of 1st sheet'!$B$3</c:f>
              <c:strCache>
                <c:ptCount val="1"/>
                <c:pt idx="0">
                  <c:v>Land Price 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'Organized version of 1st sheet'!$C$3</c:f>
              <c:numCache>
                <c:formatCode>_("₱"* #,##0.00_);_("₱"* \(#,##0.00\);_("₱"* "-"??_);_(@_)</c:formatCode>
                <c:ptCount val="1"/>
                <c:pt idx="0">
                  <c:v>420000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3-4ABA-AAE5-B5CAFE625B09}"/>
            </c:ext>
          </c:extLst>
        </c:ser>
        <c:ser>
          <c:idx val="1"/>
          <c:order val="1"/>
          <c:tx>
            <c:strRef>
              <c:f>'Organized version of 1st sheet'!$B$4</c:f>
              <c:strCache>
                <c:ptCount val="1"/>
                <c:pt idx="0">
                  <c:v> Lahar (to cover 300 sq.m and build a house) 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'Organized version of 1st sheet'!$C$4</c:f>
              <c:numCache>
                <c:formatCode>_("₱"* #,##0.00_);_("₱"* \(#,##0.00\);_("₱"* "-"??_);_(@_)</c:formatCode>
                <c:ptCount val="1"/>
                <c:pt idx="0">
                  <c:v>2700000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53-4ABA-AAE5-B5CAFE625B09}"/>
            </c:ext>
          </c:extLst>
        </c:ser>
        <c:ser>
          <c:idx val="2"/>
          <c:order val="2"/>
          <c:tx>
            <c:strRef>
              <c:f>'Organized version of 1st sheet'!$B$5</c:f>
              <c:strCache>
                <c:ptCount val="1"/>
                <c:pt idx="0">
                  <c:v>Cements (90 bags)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'Organized version of 1st sheet'!$C$5</c:f>
              <c:numCache>
                <c:formatCode>_("₱"* #,##0.00_);_("₱"* \(#,##0.00\);_("₱"* "-"??_);_(@_)</c:formatCode>
                <c:ptCount val="1"/>
                <c:pt idx="0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53-4ABA-AAE5-B5CAFE625B09}"/>
            </c:ext>
          </c:extLst>
        </c:ser>
        <c:ser>
          <c:idx val="3"/>
          <c:order val="3"/>
          <c:tx>
            <c:strRef>
              <c:f>'Organized version of 1st sheet'!$B$6</c:f>
              <c:strCache>
                <c:ptCount val="1"/>
                <c:pt idx="0">
                  <c:v>Hallow blocks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'Organized version of 1st sheet'!$C$6</c:f>
              <c:numCache>
                <c:formatCode>_("₱"* #,##0.00_);_("₱"* \(#,##0.00\);_("₱"* "-"??_);_(@_)</c:formatCode>
                <c:ptCount val="1"/>
                <c:pt idx="0">
                  <c:v>271175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53-4ABA-AAE5-B5CAFE625B09}"/>
            </c:ext>
          </c:extLst>
        </c:ser>
        <c:ser>
          <c:idx val="4"/>
          <c:order val="4"/>
          <c:tx>
            <c:strRef>
              <c:f>'Organized version of 1st sheet'!$B$7</c:f>
              <c:strCache>
                <c:ptCount val="1"/>
                <c:pt idx="0">
                  <c:v>Steel for H.B support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'Organized version of 1st sheet'!$C$7</c:f>
              <c:numCache>
                <c:formatCode>_("₱"* #,##0.00_);_("₱"* \(#,##0.00\);_("₱"* "-"??_);_(@_)</c:formatCode>
                <c:ptCount val="1"/>
                <c:pt idx="0">
                  <c:v>1804920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53-4ABA-AAE5-B5CAFE625B09}"/>
            </c:ext>
          </c:extLst>
        </c:ser>
        <c:ser>
          <c:idx val="5"/>
          <c:order val="5"/>
          <c:tx>
            <c:strRef>
              <c:f>'Organized version of 1st sheet'!$B$8</c:f>
              <c:strCache>
                <c:ptCount val="1"/>
                <c:pt idx="0">
                  <c:v>Labor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'Organized version of 1st sheet'!$C$8</c:f>
              <c:numCache>
                <c:formatCode>_("₱"* #,##0.00_);_("₱"* \(#,##0.00\);_("₱"* "-"??_);_(@_)</c:formatCode>
                <c:ptCount val="1"/>
                <c:pt idx="0">
                  <c:v>4500000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53-4ABA-AAE5-B5CAFE625B09}"/>
            </c:ext>
          </c:extLst>
        </c:ser>
        <c:ser>
          <c:idx val="6"/>
          <c:order val="6"/>
          <c:tx>
            <c:strRef>
              <c:f>'Organized version of 1st sheet'!$B$9</c:f>
              <c:strCache>
                <c:ptCount val="1"/>
                <c:pt idx="0">
                  <c:v>Cement mixer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'Organized version of 1st sheet'!$C$9</c:f>
              <c:numCache>
                <c:formatCode>_("₱"* #,##0.00_);_("₱"* \(#,##0.00\);_("₱"* "-"??_);_(@_)</c:formatCode>
                <c:ptCount val="1"/>
                <c:pt idx="0">
                  <c:v>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53-4ABA-AAE5-B5CAFE625B09}"/>
            </c:ext>
          </c:extLst>
        </c:ser>
        <c:ser>
          <c:idx val="7"/>
          <c:order val="7"/>
          <c:tx>
            <c:strRef>
              <c:f>'Organized version of 1st sheet'!$B$10</c:f>
              <c:strCache>
                <c:ptCount val="1"/>
                <c:pt idx="0">
                  <c:v>Traces + yero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'Organized version of 1st sheet'!$C$10</c:f>
              <c:numCache>
                <c:formatCode>_("₱"* #,##0.00_);_("₱"* \(#,##0.00\);_("₱"* "-"??_);_(@_)</c:formatCode>
                <c:ptCount val="1"/>
                <c:pt idx="0">
                  <c:v>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953-4ABA-AAE5-B5CAFE625B09}"/>
            </c:ext>
          </c:extLst>
        </c:ser>
        <c:ser>
          <c:idx val="8"/>
          <c:order val="8"/>
          <c:tx>
            <c:strRef>
              <c:f>'Organized version of 1st sheet'!$B$11</c:f>
              <c:strCache>
                <c:ptCount val="1"/>
                <c:pt idx="0">
                  <c:v>Paint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'Organized version of 1st sheet'!$C$11</c:f>
              <c:numCache>
                <c:formatCode>_("₱"* #,##0.00_);_("₱"* \(#,##0.00\);_("₱"* "-"??_);_(@_)</c:formatCode>
                <c:ptCount val="1"/>
                <c:pt idx="0">
                  <c:v>211500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53-4ABA-AAE5-B5CAFE625B09}"/>
            </c:ext>
          </c:extLst>
        </c:ser>
        <c:ser>
          <c:idx val="9"/>
          <c:order val="9"/>
          <c:tx>
            <c:strRef>
              <c:f>'Organized version of 1st sheet'!$B$12</c:f>
              <c:strCache>
                <c:ptCount val="1"/>
                <c:pt idx="0">
                  <c:v>Windows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'Organized version of 1st sheet'!$C$12</c:f>
              <c:numCache>
                <c:formatCode>_("₱"* #,##0.00_);_("₱"* \(#,##0.00\);_("₱"* "-"??_);_(@_)</c:formatCode>
                <c:ptCount val="1"/>
                <c:pt idx="0">
                  <c:v>226800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953-4ABA-AAE5-B5CAFE625B09}"/>
            </c:ext>
          </c:extLst>
        </c:ser>
        <c:ser>
          <c:idx val="10"/>
          <c:order val="10"/>
          <c:tx>
            <c:strRef>
              <c:f>'Organized version of 1st sheet'!$B$13</c:f>
              <c:strCache>
                <c:ptCount val="1"/>
                <c:pt idx="0">
                  <c:v>Doors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'Organized version of 1st sheet'!$C$13</c:f>
              <c:numCache>
                <c:formatCode>_("₱"* #,##0.00_);_("₱"* \(#,##0.00\);_("₱"* "-"??_);_(@_)</c:formatCode>
                <c:ptCount val="1"/>
                <c:pt idx="0">
                  <c:v>30600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53-4ABA-AAE5-B5CAFE625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3950975"/>
        <c:axId val="1353949535"/>
      </c:barChart>
      <c:catAx>
        <c:axId val="1353950975"/>
        <c:scaling>
          <c:orientation val="minMax"/>
        </c:scaling>
        <c:delete val="1"/>
        <c:axPos val="b"/>
        <c:majorTickMark val="out"/>
        <c:minorTickMark val="none"/>
        <c:tickLblPos val="nextTo"/>
        <c:crossAx val="1353949535"/>
        <c:crosses val="autoZero"/>
        <c:auto val="1"/>
        <c:lblAlgn val="ctr"/>
        <c:lblOffset val="100"/>
        <c:noMultiLvlLbl val="0"/>
      </c:catAx>
      <c:valAx>
        <c:axId val="135394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₱&quot;* #,##0.00_);_(&quot;₱&quot;* \(#,##0.00\);_(&quot;₱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95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softEdge rad="127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'Organized version of 1st sheet'!$B$14</c:f>
              <c:strCache>
                <c:ptCount val="1"/>
                <c:pt idx="0">
                  <c:v>Lavatories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'Organized version of 1st sheet'!$C$14</c:f>
              <c:numCache>
                <c:formatCode>_("₱"* #,##0.00_);_("₱"* \(#,##0.00\);_("₱"* "-"??_);_(@_)</c:formatCode>
                <c:ptCount val="1"/>
                <c:pt idx="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F-4011-A566-7AEA4CAE0352}"/>
            </c:ext>
          </c:extLst>
        </c:ser>
        <c:ser>
          <c:idx val="1"/>
          <c:order val="1"/>
          <c:tx>
            <c:strRef>
              <c:f>'Organized version of 1st sheet'!$B$15</c:f>
              <c:strCache>
                <c:ptCount val="1"/>
                <c:pt idx="0">
                  <c:v>Toilet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'Organized version of 1st sheet'!$C$15</c:f>
              <c:numCache>
                <c:formatCode>_("₱"* #,##0.00_);_("₱"* \(#,##0.00\);_("₱"* "-"??_);_(@_)</c:formatCode>
                <c:ptCount val="1"/>
                <c:pt idx="0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2F-4011-A566-7AEA4CAE0352}"/>
            </c:ext>
          </c:extLst>
        </c:ser>
        <c:ser>
          <c:idx val="2"/>
          <c:order val="2"/>
          <c:tx>
            <c:strRef>
              <c:f>'Organized version of 1st sheet'!$B$16</c:f>
              <c:strCache>
                <c:ptCount val="1"/>
                <c:pt idx="0">
                  <c:v>Hose and faucets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'Organized version of 1st sheet'!$C$16</c:f>
              <c:numCache>
                <c:formatCode>_("₱"* #,##0.00_);_("₱"* \(#,##0.00\);_("₱"* "-"??_);_(@_)</c:formatCode>
                <c:ptCount val="1"/>
                <c:pt idx="0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2F-4011-A566-7AEA4CAE0352}"/>
            </c:ext>
          </c:extLst>
        </c:ser>
        <c:ser>
          <c:idx val="3"/>
          <c:order val="3"/>
          <c:tx>
            <c:strRef>
              <c:f>'Organized version of 1st sheet'!$B$17</c:f>
              <c:strCache>
                <c:ptCount val="1"/>
                <c:pt idx="0">
                  <c:v>Water system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'Organized version of 1st sheet'!$C$17</c:f>
              <c:numCache>
                <c:formatCode>_("₱"* #,##0.00_);_("₱"* \(#,##0.00\);_("₱"* "-"??_);_(@_)</c:formatCode>
                <c:ptCount val="1"/>
                <c:pt idx="0">
                  <c:v>134000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2F-4011-A566-7AEA4CAE0352}"/>
            </c:ext>
          </c:extLst>
        </c:ser>
        <c:ser>
          <c:idx val="4"/>
          <c:order val="4"/>
          <c:tx>
            <c:strRef>
              <c:f>'Organized version of 1st sheet'!$B$18</c:f>
              <c:strCache>
                <c:ptCount val="1"/>
                <c:pt idx="0">
                  <c:v>Electricity system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'Organized version of 1st sheet'!$C$18</c:f>
              <c:numCache>
                <c:formatCode>_("₱"* #,##0.00_);_("₱"* \(#,##0.00\);_("₱"* "-"??_);_(@_)</c:formatCode>
                <c:ptCount val="1"/>
                <c:pt idx="0">
                  <c:v>79600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2F-4011-A566-7AEA4CAE0352}"/>
            </c:ext>
          </c:extLst>
        </c:ser>
        <c:ser>
          <c:idx val="5"/>
          <c:order val="5"/>
          <c:tx>
            <c:strRef>
              <c:f>'Organized version of 1st sheet'!$B$19</c:f>
              <c:strCache>
                <c:ptCount val="1"/>
                <c:pt idx="0">
                  <c:v>Appliances and lights etc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'Organized version of 1st sheet'!$C$19</c:f>
              <c:numCache>
                <c:formatCode>_("₱"* #,##0.00_);_("₱"* \(#,##0.00\);_("₱"* "-"??_);_(@_)</c:formatCode>
                <c:ptCount val="1"/>
                <c:pt idx="0">
                  <c:v>28800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2F-4011-A566-7AEA4CAE0352}"/>
            </c:ext>
          </c:extLst>
        </c:ser>
        <c:ser>
          <c:idx val="6"/>
          <c:order val="6"/>
          <c:tx>
            <c:strRef>
              <c:f>'Organized version of 1st sheet'!$B$20</c:f>
              <c:strCache>
                <c:ptCount val="1"/>
                <c:pt idx="0">
                  <c:v>Tiles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'Organized version of 1st sheet'!$C$20</c:f>
              <c:numCache>
                <c:formatCode>_("₱"* #,##0.00_);_("₱"* \(#,##0.00\);_("₱"* "-"??_);_(@_)</c:formatCode>
                <c:ptCount val="1"/>
                <c:pt idx="0">
                  <c:v>322500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2F-4011-A566-7AEA4CAE0352}"/>
            </c:ext>
          </c:extLst>
        </c:ser>
        <c:ser>
          <c:idx val="7"/>
          <c:order val="7"/>
          <c:tx>
            <c:strRef>
              <c:f>'Organized version of 1st sheet'!$B$21</c:f>
              <c:strCache>
                <c:ptCount val="1"/>
                <c:pt idx="0">
                  <c:v>Clean the house (labor)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'Organized version of 1st sheet'!$C$21</c:f>
              <c:numCache>
                <c:formatCode>_("₱"* #,##0.00_);_("₱"* \(#,##0.00\);_("₱"* "-"??_);_(@_)</c:formatCode>
                <c:ptCount val="1"/>
                <c:pt idx="0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2F-4011-A566-7AEA4CAE0352}"/>
            </c:ext>
          </c:extLst>
        </c:ser>
        <c:ser>
          <c:idx val="8"/>
          <c:order val="8"/>
          <c:tx>
            <c:strRef>
              <c:f>'Organized version of 1st sheet'!$B$22</c:f>
              <c:strCache>
                <c:ptCount val="1"/>
                <c:pt idx="0">
                  <c:v>Beds (18 pieces)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'Organized version of 1st sheet'!$C$22</c:f>
              <c:numCache>
                <c:formatCode>_("₱"* #,##0.00_);_("₱"* \(#,##0.00\);_("₱"* "-"??_);_(@_)</c:formatCode>
                <c:ptCount val="1"/>
                <c:pt idx="0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2F-4011-A566-7AEA4CAE0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3937055"/>
        <c:axId val="1353937535"/>
      </c:barChart>
      <c:catAx>
        <c:axId val="13539370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53937535"/>
        <c:crosses val="autoZero"/>
        <c:auto val="1"/>
        <c:lblAlgn val="ctr"/>
        <c:lblOffset val="100"/>
        <c:noMultiLvlLbl val="0"/>
      </c:catAx>
      <c:valAx>
        <c:axId val="13539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₱&quot;* #,##0.00_);_(&quot;₱&quot;* \(#,##0.00\);_(&quot;₱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93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19050</xdr:colOff>
      <xdr:row>11</xdr:row>
      <xdr:rowOff>908050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02A7205-6A80-0ECF-93E4-16B240FB0784}"/>
            </a:ext>
          </a:extLst>
        </xdr:cNvPr>
        <xdr:cNvSpPr/>
      </xdr:nvSpPr>
      <xdr:spPr>
        <a:xfrm>
          <a:off x="0" y="0"/>
          <a:ext cx="628650" cy="348615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56029</xdr:colOff>
      <xdr:row>72</xdr:row>
      <xdr:rowOff>102719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A8E41BB-F323-C5A1-C98D-0F636C565A6B}"/>
            </a:ext>
          </a:extLst>
        </xdr:cNvPr>
        <xdr:cNvSpPr/>
      </xdr:nvSpPr>
      <xdr:spPr>
        <a:xfrm>
          <a:off x="0" y="0"/>
          <a:ext cx="12802720" cy="13549778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45571</xdr:colOff>
      <xdr:row>5</xdr:row>
      <xdr:rowOff>63125</xdr:rowOff>
    </xdr:from>
    <xdr:to>
      <xdr:col>6</xdr:col>
      <xdr:colOff>267821</xdr:colOff>
      <xdr:row>70</xdr:row>
      <xdr:rowOff>102721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831D4EA-8D82-1EE7-701C-C4C1B26D1986}"/>
            </a:ext>
          </a:extLst>
        </xdr:cNvPr>
        <xdr:cNvSpPr/>
      </xdr:nvSpPr>
      <xdr:spPr>
        <a:xfrm>
          <a:off x="652556" y="996949"/>
          <a:ext cx="3257177" cy="12179301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PH" sz="1400">
              <a:solidFill>
                <a:schemeClr val="tx1"/>
              </a:solidFill>
              <a:latin typeface="+mn-lt"/>
              <a:ea typeface="+mn-ea"/>
              <a:cs typeface="+mn-cs"/>
            </a:rPr>
            <a:t>Total</a:t>
          </a:r>
          <a:r>
            <a:rPr lang="en-PH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 house building expenses</a:t>
          </a:r>
        </a:p>
        <a:p>
          <a:pPr marL="0" indent="0" algn="ctr"/>
          <a:endParaRPr lang="en-PH" sz="140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n-PH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PH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₱</a:t>
          </a:r>
          <a:r>
            <a:rPr lang="en-PH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11,988,795.00 </a:t>
          </a:r>
          <a:endParaRPr lang="en-PH" sz="14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577102</xdr:colOff>
      <xdr:row>10</xdr:row>
      <xdr:rowOff>34365</xdr:rowOff>
    </xdr:from>
    <xdr:to>
      <xdr:col>30</xdr:col>
      <xdr:colOff>113553</xdr:colOff>
      <xdr:row>17</xdr:row>
      <xdr:rowOff>12700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B741795-973B-4273-979F-479D6510A342}"/>
            </a:ext>
          </a:extLst>
        </xdr:cNvPr>
        <xdr:cNvSpPr/>
      </xdr:nvSpPr>
      <xdr:spPr>
        <a:xfrm>
          <a:off x="16358720" y="1902012"/>
          <a:ext cx="1964392" cy="1285688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PH" sz="1400">
              <a:solidFill>
                <a:schemeClr val="tx1"/>
              </a:solidFill>
              <a:latin typeface="+mn-lt"/>
              <a:ea typeface="+mn-ea"/>
              <a:cs typeface="+mn-cs"/>
            </a:rPr>
            <a:t>Annual</a:t>
          </a:r>
          <a:r>
            <a:rPr lang="en-PH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 bills plus maitnenance</a:t>
          </a:r>
          <a:r>
            <a:rPr lang="en-PH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en-PH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PH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₱   124,241.60 </a:t>
          </a:r>
          <a:endParaRPr lang="en-PH" sz="14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70223</xdr:colOff>
      <xdr:row>10</xdr:row>
      <xdr:rowOff>83671</xdr:rowOff>
    </xdr:from>
    <xdr:to>
      <xdr:col>26</xdr:col>
      <xdr:colOff>197223</xdr:colOff>
      <xdr:row>14</xdr:row>
      <xdr:rowOff>156136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0AAE3F8-74C4-4F83-B98B-D51A3F21E4E7}"/>
            </a:ext>
          </a:extLst>
        </xdr:cNvPr>
        <xdr:cNvSpPr/>
      </xdr:nvSpPr>
      <xdr:spPr>
        <a:xfrm>
          <a:off x="14030885" y="1951318"/>
          <a:ext cx="1947956" cy="81952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PH" sz="1400">
              <a:solidFill>
                <a:schemeClr val="tx1"/>
              </a:solidFill>
              <a:latin typeface="+mn-lt"/>
              <a:ea typeface="+mn-ea"/>
              <a:cs typeface="+mn-cs"/>
            </a:rPr>
            <a:t>True</a:t>
          </a:r>
          <a:r>
            <a:rPr lang="en-PH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 Profit annually</a:t>
          </a:r>
        </a:p>
        <a:p>
          <a:pPr marL="0" indent="0" algn="ctr"/>
          <a:r>
            <a:rPr lang="en-PH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PH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₱         884,504.60 </a:t>
          </a:r>
          <a:endParaRPr lang="en-PH" sz="14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478865</xdr:colOff>
      <xdr:row>3</xdr:row>
      <xdr:rowOff>101600</xdr:rowOff>
    </xdr:from>
    <xdr:to>
      <xdr:col>28</xdr:col>
      <xdr:colOff>453465</xdr:colOff>
      <xdr:row>9</xdr:row>
      <xdr:rowOff>76200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1D2BCD3-510A-49CE-854D-840FD283BF2D}"/>
            </a:ext>
          </a:extLst>
        </xdr:cNvPr>
        <xdr:cNvSpPr/>
      </xdr:nvSpPr>
      <xdr:spPr>
        <a:xfrm>
          <a:off x="15653497" y="661894"/>
          <a:ext cx="1795556" cy="1095188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PH" sz="1400">
              <a:solidFill>
                <a:schemeClr val="tx1"/>
              </a:solidFill>
              <a:latin typeface="+mn-lt"/>
              <a:ea typeface="+mn-ea"/>
              <a:cs typeface="+mn-cs"/>
            </a:rPr>
            <a:t>Number of years to get back the overall  expenses</a:t>
          </a:r>
          <a:r>
            <a:rPr lang="en-PH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</a:t>
          </a:r>
        </a:p>
        <a:p>
          <a:pPr marL="0" indent="0" algn="ctr"/>
          <a:r>
            <a:rPr lang="en-PH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PH" sz="1200">
              <a:solidFill>
                <a:schemeClr val="tx1"/>
              </a:solidFill>
              <a:latin typeface="+mn-lt"/>
              <a:ea typeface="+mn-ea"/>
              <a:cs typeface="+mn-cs"/>
            </a:rPr>
            <a:t>13.55  years</a:t>
          </a:r>
          <a:r>
            <a:rPr lang="en-PH" sz="140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1</xdr:col>
      <xdr:colOff>252366</xdr:colOff>
      <xdr:row>10</xdr:row>
      <xdr:rowOff>28015</xdr:rowOff>
    </xdr:from>
    <xdr:to>
      <xdr:col>6</xdr:col>
      <xdr:colOff>93383</xdr:colOff>
      <xdr:row>43</xdr:row>
      <xdr:rowOff>84044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B7C724-71FB-493B-B71D-AF1D02200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270046</xdr:colOff>
      <xdr:row>43</xdr:row>
      <xdr:rowOff>177428</xdr:rowOff>
    </xdr:from>
    <xdr:to>
      <xdr:col>6</xdr:col>
      <xdr:colOff>75658</xdr:colOff>
      <xdr:row>68</xdr:row>
      <xdr:rowOff>140074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6EC99E-E48F-4622-8960-3A01EA200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66DC-3AF8-4CEB-83DE-A706DC733E18}">
  <dimension ref="B1:L33"/>
  <sheetViews>
    <sheetView tabSelected="1" zoomScale="68" workbookViewId="0">
      <selection activeCell="I12" sqref="I12"/>
    </sheetView>
  </sheetViews>
  <sheetFormatPr defaultRowHeight="14.5" x14ac:dyDescent="0.35"/>
  <cols>
    <col min="2" max="2" width="21.453125" bestFit="1" customWidth="1"/>
    <col min="3" max="3" width="14.7265625" bestFit="1" customWidth="1"/>
    <col min="4" max="4" width="8.54296875" bestFit="1" customWidth="1"/>
    <col min="6" max="6" width="20.36328125" bestFit="1" customWidth="1"/>
    <col min="7" max="7" width="16.1796875" bestFit="1" customWidth="1"/>
    <col min="8" max="8" width="17.1796875" bestFit="1" customWidth="1"/>
    <col min="9" max="9" width="14.7265625" bestFit="1" customWidth="1"/>
    <col min="10" max="10" width="13" bestFit="1" customWidth="1"/>
    <col min="11" max="11" width="15.81640625" bestFit="1" customWidth="1"/>
    <col min="12" max="12" width="13.1796875" bestFit="1" customWidth="1"/>
    <col min="13" max="13" width="12.1796875" bestFit="1" customWidth="1"/>
  </cols>
  <sheetData>
    <row r="1" spans="2:10" x14ac:dyDescent="0.35">
      <c r="B1" s="38" t="s">
        <v>61</v>
      </c>
      <c r="C1" s="38"/>
      <c r="D1" s="38"/>
      <c r="F1" s="39" t="s">
        <v>62</v>
      </c>
      <c r="G1" s="39"/>
      <c r="H1" s="39"/>
      <c r="I1" s="39"/>
      <c r="J1" s="39"/>
    </row>
    <row r="2" spans="2:10" ht="43.5" x14ac:dyDescent="0.35">
      <c r="B2" s="18" t="s">
        <v>23</v>
      </c>
      <c r="C2" s="19" t="s">
        <v>15</v>
      </c>
      <c r="D2" s="20" t="s">
        <v>16</v>
      </c>
      <c r="F2" s="11" t="s">
        <v>23</v>
      </c>
      <c r="G2" s="12" t="s">
        <v>24</v>
      </c>
      <c r="H2" s="25" t="s">
        <v>35</v>
      </c>
      <c r="I2" s="12" t="s">
        <v>36</v>
      </c>
      <c r="J2" s="17" t="s">
        <v>20</v>
      </c>
    </row>
    <row r="3" spans="2:10" x14ac:dyDescent="0.35">
      <c r="B3" s="5" t="s">
        <v>0</v>
      </c>
      <c r="C3" s="21">
        <f>1400*300</f>
        <v>420000</v>
      </c>
      <c r="D3" s="6"/>
      <c r="F3" s="13" t="s">
        <v>25</v>
      </c>
      <c r="G3" s="26">
        <v>500</v>
      </c>
      <c r="H3" s="14">
        <v>1</v>
      </c>
      <c r="I3" s="14">
        <v>3</v>
      </c>
      <c r="J3" s="27">
        <f t="shared" ref="J3:J13" si="0">G3*H3*I3</f>
        <v>1500</v>
      </c>
    </row>
    <row r="4" spans="2:10" ht="29" x14ac:dyDescent="0.35">
      <c r="B4" s="22" t="s">
        <v>1</v>
      </c>
      <c r="C4" s="23">
        <f>(300*3*1500)*2</f>
        <v>2700000</v>
      </c>
      <c r="D4" s="10"/>
      <c r="F4" s="11" t="s">
        <v>30</v>
      </c>
      <c r="G4" s="28">
        <v>200</v>
      </c>
      <c r="H4" s="29">
        <f>0.33</f>
        <v>0.33</v>
      </c>
      <c r="I4" s="12">
        <v>4</v>
      </c>
      <c r="J4" s="30">
        <f t="shared" si="0"/>
        <v>264</v>
      </c>
    </row>
    <row r="5" spans="2:10" x14ac:dyDescent="0.35">
      <c r="B5" s="5" t="s">
        <v>2</v>
      </c>
      <c r="C5" s="21">
        <v>120000</v>
      </c>
      <c r="D5" s="6"/>
      <c r="F5" s="13" t="s">
        <v>31</v>
      </c>
      <c r="G5" s="26">
        <v>300</v>
      </c>
      <c r="H5" s="14">
        <f>1/2</f>
        <v>0.5</v>
      </c>
      <c r="I5" s="14">
        <v>1</v>
      </c>
      <c r="J5" s="27">
        <f t="shared" si="0"/>
        <v>150</v>
      </c>
    </row>
    <row r="6" spans="2:10" x14ac:dyDescent="0.35">
      <c r="B6" s="7" t="s">
        <v>3</v>
      </c>
      <c r="C6" s="23">
        <f>10847*25</f>
        <v>271175</v>
      </c>
      <c r="D6" s="10"/>
      <c r="F6" s="11" t="s">
        <v>26</v>
      </c>
      <c r="G6" s="28">
        <v>600</v>
      </c>
      <c r="H6" s="29">
        <f>1/3</f>
        <v>0.33333333333333331</v>
      </c>
      <c r="I6" s="12">
        <v>3</v>
      </c>
      <c r="J6" s="30">
        <f t="shared" si="0"/>
        <v>600</v>
      </c>
    </row>
    <row r="7" spans="2:10" x14ac:dyDescent="0.35">
      <c r="B7" s="5" t="s">
        <v>4</v>
      </c>
      <c r="C7" s="21">
        <f>30082*60</f>
        <v>1804920</v>
      </c>
      <c r="D7" s="6"/>
      <c r="F7" s="13" t="s">
        <v>27</v>
      </c>
      <c r="G7" s="26">
        <v>200</v>
      </c>
      <c r="H7" s="14">
        <f>1/4</f>
        <v>0.25</v>
      </c>
      <c r="I7" s="14">
        <v>4</v>
      </c>
      <c r="J7" s="27">
        <f t="shared" si="0"/>
        <v>200</v>
      </c>
    </row>
    <row r="8" spans="2:10" x14ac:dyDescent="0.35">
      <c r="B8" s="7" t="s">
        <v>5</v>
      </c>
      <c r="C8" s="23">
        <v>4500000</v>
      </c>
      <c r="D8" s="10"/>
      <c r="F8" s="11" t="s">
        <v>8</v>
      </c>
      <c r="G8" s="28">
        <v>2000</v>
      </c>
      <c r="H8" s="12">
        <f>1/5</f>
        <v>0.2</v>
      </c>
      <c r="I8" s="12">
        <v>2</v>
      </c>
      <c r="J8" s="30">
        <f t="shared" si="0"/>
        <v>800</v>
      </c>
    </row>
    <row r="9" spans="2:10" x14ac:dyDescent="0.35">
      <c r="B9" s="5" t="s">
        <v>6</v>
      </c>
      <c r="C9" s="21">
        <f>1500+6400</f>
        <v>7900</v>
      </c>
      <c r="D9" s="6"/>
      <c r="F9" s="13" t="s">
        <v>28</v>
      </c>
      <c r="G9" s="26">
        <v>3000</v>
      </c>
      <c r="H9" s="14">
        <v>12</v>
      </c>
      <c r="I9" s="14">
        <v>1</v>
      </c>
      <c r="J9" s="27">
        <f t="shared" si="0"/>
        <v>36000</v>
      </c>
    </row>
    <row r="10" spans="2:10" x14ac:dyDescent="0.35">
      <c r="B10" s="7" t="s">
        <v>18</v>
      </c>
      <c r="C10" s="23">
        <v>900000</v>
      </c>
      <c r="D10" s="10"/>
      <c r="F10" s="11" t="s">
        <v>32</v>
      </c>
      <c r="G10" s="28">
        <v>800</v>
      </c>
      <c r="H10" s="12">
        <v>12</v>
      </c>
      <c r="I10" s="12">
        <v>1</v>
      </c>
      <c r="J10" s="30">
        <f t="shared" si="0"/>
        <v>9600</v>
      </c>
    </row>
    <row r="11" spans="2:10" x14ac:dyDescent="0.35">
      <c r="B11" s="5" t="s">
        <v>14</v>
      </c>
      <c r="C11" s="21">
        <v>211500</v>
      </c>
      <c r="D11" s="6"/>
      <c r="F11" s="13" t="s">
        <v>33</v>
      </c>
      <c r="G11" s="26">
        <f>11.19*420</f>
        <v>4699.8</v>
      </c>
      <c r="H11" s="14">
        <v>12</v>
      </c>
      <c r="I11" s="14">
        <v>1</v>
      </c>
      <c r="J11" s="27">
        <f t="shared" si="0"/>
        <v>56397.600000000006</v>
      </c>
    </row>
    <row r="12" spans="2:10" ht="72.5" x14ac:dyDescent="0.35">
      <c r="B12" s="7" t="s">
        <v>7</v>
      </c>
      <c r="C12" s="23">
        <v>226800</v>
      </c>
      <c r="D12" s="10"/>
      <c r="F12" s="31" t="s">
        <v>34</v>
      </c>
      <c r="G12" s="28">
        <f>350*6*8</f>
        <v>16800</v>
      </c>
      <c r="H12" s="12">
        <v>1</v>
      </c>
      <c r="I12" s="12">
        <v>1</v>
      </c>
      <c r="J12" s="30">
        <f t="shared" si="0"/>
        <v>16800</v>
      </c>
    </row>
    <row r="13" spans="2:10" x14ac:dyDescent="0.35">
      <c r="B13" s="5" t="s">
        <v>8</v>
      </c>
      <c r="C13" s="21">
        <f>(3600*6)+9000</f>
        <v>30600</v>
      </c>
      <c r="D13" s="6"/>
      <c r="F13" s="13" t="s">
        <v>29</v>
      </c>
      <c r="G13" s="26">
        <v>1500</v>
      </c>
      <c r="H13" s="32">
        <f>1/6</f>
        <v>0.16666666666666666</v>
      </c>
      <c r="I13" s="14">
        <v>1</v>
      </c>
      <c r="J13" s="27">
        <f t="shared" si="0"/>
        <v>250</v>
      </c>
    </row>
    <row r="14" spans="2:10" x14ac:dyDescent="0.35">
      <c r="B14" s="7" t="s">
        <v>9</v>
      </c>
      <c r="C14" s="23">
        <f>5000*6</f>
        <v>30000</v>
      </c>
      <c r="D14" s="10"/>
      <c r="F14" s="11" t="s">
        <v>53</v>
      </c>
      <c r="G14" s="33">
        <f>('Organized version of 1st sheet'!C3*0.2)*0.02</f>
        <v>1680</v>
      </c>
      <c r="H14" s="12">
        <v>1</v>
      </c>
      <c r="I14" s="12">
        <v>1</v>
      </c>
      <c r="J14" s="30">
        <f>G14*H14</f>
        <v>1680</v>
      </c>
    </row>
    <row r="15" spans="2:10" x14ac:dyDescent="0.35">
      <c r="B15" s="5" t="s">
        <v>10</v>
      </c>
      <c r="C15" s="21">
        <v>60000</v>
      </c>
      <c r="D15" s="6"/>
      <c r="F15" s="15"/>
      <c r="G15" s="34"/>
      <c r="H15" s="16"/>
      <c r="I15" s="16" t="s">
        <v>20</v>
      </c>
      <c r="J15" s="35">
        <f>SUM(J3:J14)</f>
        <v>124241.60000000001</v>
      </c>
    </row>
    <row r="16" spans="2:10" x14ac:dyDescent="0.35">
      <c r="B16" s="7" t="s">
        <v>11</v>
      </c>
      <c r="C16" s="23">
        <f>(500*10)+(1000*6)</f>
        <v>11000</v>
      </c>
      <c r="D16" s="10"/>
    </row>
    <row r="17" spans="2:12" x14ac:dyDescent="0.35">
      <c r="B17" s="5" t="s">
        <v>12</v>
      </c>
      <c r="C17" s="21">
        <v>134000</v>
      </c>
      <c r="D17" s="6"/>
    </row>
    <row r="18" spans="2:12" x14ac:dyDescent="0.35">
      <c r="B18" s="7" t="s">
        <v>13</v>
      </c>
      <c r="C18" s="23">
        <v>79600</v>
      </c>
      <c r="D18" s="10"/>
      <c r="F18" s="40" t="s">
        <v>63</v>
      </c>
      <c r="G18" s="40"/>
      <c r="H18" s="40"/>
      <c r="I18" s="40"/>
      <c r="J18" s="40"/>
      <c r="K18" s="40"/>
      <c r="L18" s="40"/>
    </row>
    <row r="19" spans="2:12" ht="58" x14ac:dyDescent="0.35">
      <c r="B19" s="5" t="s">
        <v>19</v>
      </c>
      <c r="C19" s="21">
        <f>(1500*12)+(580*10)+(5000)</f>
        <v>28800</v>
      </c>
      <c r="D19" s="6"/>
      <c r="F19" s="1" t="s">
        <v>54</v>
      </c>
      <c r="G19" s="1" t="s">
        <v>55</v>
      </c>
      <c r="H19" s="1" t="s">
        <v>56</v>
      </c>
      <c r="I19" s="1" t="s">
        <v>57</v>
      </c>
      <c r="J19" s="1" t="s">
        <v>58</v>
      </c>
      <c r="K19" s="1" t="s">
        <v>59</v>
      </c>
      <c r="L19" s="3" t="s">
        <v>60</v>
      </c>
    </row>
    <row r="20" spans="2:12" x14ac:dyDescent="0.35">
      <c r="B20" s="7" t="s">
        <v>22</v>
      </c>
      <c r="C20" s="23">
        <v>322500</v>
      </c>
      <c r="D20" s="10"/>
      <c r="F20" s="2">
        <v>5000</v>
      </c>
      <c r="G20" s="2">
        <v>90000</v>
      </c>
      <c r="H20" s="2">
        <f>SUM('Organized version of 1st sheet'!G9:G11)</f>
        <v>8499.7999999999993</v>
      </c>
      <c r="I20" s="2">
        <f>G20-H20</f>
        <v>81500.2</v>
      </c>
      <c r="J20" s="2">
        <f>12*I20</f>
        <v>978002.39999999991</v>
      </c>
      <c r="K20" s="2">
        <f>J20+3800+4699.8-36000-9600-56397.6</f>
        <v>884504.6</v>
      </c>
      <c r="L20" s="4">
        <f>'Organized version of 1st sheet'!C23/K20</f>
        <v>13.554248332908614</v>
      </c>
    </row>
    <row r="21" spans="2:12" x14ac:dyDescent="0.35">
      <c r="B21" s="5" t="s">
        <v>17</v>
      </c>
      <c r="C21" s="21">
        <f>500*8*10</f>
        <v>40000</v>
      </c>
      <c r="D21" s="6"/>
    </row>
    <row r="22" spans="2:12" x14ac:dyDescent="0.35">
      <c r="B22" s="7" t="s">
        <v>43</v>
      </c>
      <c r="C22" s="23">
        <f>5000*18</f>
        <v>90000</v>
      </c>
      <c r="D22" s="20"/>
    </row>
    <row r="23" spans="2:12" ht="43.5" x14ac:dyDescent="0.35">
      <c r="B23" s="5" t="s">
        <v>20</v>
      </c>
      <c r="C23" s="42">
        <f>SUM(C3:C22)</f>
        <v>11988795</v>
      </c>
      <c r="D23" s="24" t="s">
        <v>21</v>
      </c>
      <c r="F23" s="41" t="s">
        <v>64</v>
      </c>
      <c r="G23" s="41"/>
    </row>
    <row r="24" spans="2:12" x14ac:dyDescent="0.35">
      <c r="F24" s="8" t="s">
        <v>37</v>
      </c>
      <c r="G24" s="8">
        <v>6</v>
      </c>
    </row>
    <row r="25" spans="2:12" x14ac:dyDescent="0.35">
      <c r="F25" s="9" t="s">
        <v>38</v>
      </c>
      <c r="G25" s="9" t="s">
        <v>39</v>
      </c>
    </row>
    <row r="26" spans="2:12" x14ac:dyDescent="0.35">
      <c r="F26" s="36" t="s">
        <v>40</v>
      </c>
      <c r="G26" s="8" t="s">
        <v>41</v>
      </c>
    </row>
    <row r="27" spans="2:12" x14ac:dyDescent="0.35">
      <c r="F27" s="37" t="s">
        <v>52</v>
      </c>
      <c r="G27" s="9" t="s">
        <v>42</v>
      </c>
    </row>
    <row r="28" spans="2:12" x14ac:dyDescent="0.35">
      <c r="F28" s="36" t="s">
        <v>52</v>
      </c>
      <c r="G28" s="8" t="s">
        <v>45</v>
      </c>
    </row>
    <row r="29" spans="2:12" x14ac:dyDescent="0.35">
      <c r="F29" s="37" t="s">
        <v>52</v>
      </c>
      <c r="G29" s="9" t="s">
        <v>44</v>
      </c>
    </row>
    <row r="30" spans="2:12" x14ac:dyDescent="0.35">
      <c r="F30" s="36" t="s">
        <v>52</v>
      </c>
      <c r="G30" s="8" t="s">
        <v>46</v>
      </c>
    </row>
    <row r="31" spans="2:12" x14ac:dyDescent="0.35">
      <c r="F31" s="37" t="s">
        <v>52</v>
      </c>
      <c r="G31" s="9" t="s">
        <v>47</v>
      </c>
    </row>
    <row r="32" spans="2:12" x14ac:dyDescent="0.35">
      <c r="F32" s="8" t="s">
        <v>48</v>
      </c>
      <c r="G32" s="8" t="s">
        <v>49</v>
      </c>
    </row>
    <row r="33" spans="6:7" x14ac:dyDescent="0.35">
      <c r="F33" s="9" t="s">
        <v>50</v>
      </c>
      <c r="G33" s="9" t="s">
        <v>51</v>
      </c>
    </row>
  </sheetData>
  <mergeCells count="4">
    <mergeCell ref="B1:D1"/>
    <mergeCell ref="F1:J1"/>
    <mergeCell ref="F18:L18"/>
    <mergeCell ref="F23:G23"/>
  </mergeCells>
  <conditionalFormatting sqref="C3:C21">
    <cfRule type="colorScale" priority="3">
      <colorScale>
        <cfvo type="min"/>
        <cfvo type="max"/>
        <color rgb="FFFCFCFF"/>
        <color rgb="FF63BE7B"/>
      </colorScale>
    </cfRule>
  </conditionalFormatting>
  <conditionalFormatting sqref="J3:J1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5:J1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BC4B-4042-47BE-811F-48946609122E}">
  <dimension ref="A1"/>
  <sheetViews>
    <sheetView zoomScale="68" workbookViewId="0">
      <selection activeCell="I19" sqref="I1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Organized version of 1st sheet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Mitz Paula Nieves</dc:creator>
  <cp:lastModifiedBy>Mitz Paula Nieves</cp:lastModifiedBy>
  <dcterms:created xsi:type="dcterms:W3CDTF">2024-06-18T05:13:01Z</dcterms:created>
  <dcterms:modified xsi:type="dcterms:W3CDTF">2024-07-04T05:51:22Z</dcterms:modified>
</cp:coreProperties>
</file>