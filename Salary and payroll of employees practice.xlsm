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itzpaula\Downloads\"/>
    </mc:Choice>
  </mc:AlternateContent>
  <xr:revisionPtr revIDLastSave="0" documentId="13_ncr:1_{3800CC94-2096-401E-9111-B762E3BE767B}" xr6:coauthVersionLast="47" xr6:coauthVersionMax="47" xr10:uidLastSave="{00000000-0000-0000-0000-000000000000}"/>
  <bookViews>
    <workbookView xWindow="-110" yWindow="-110" windowWidth="19420" windowHeight="10300" xr2:uid="{41636347-5A44-4467-8820-DE1B8F99BAD1}"/>
  </bookViews>
  <sheets>
    <sheet name="1st day" sheetId="1" r:id="rId1"/>
    <sheet name="2nd day" sheetId="3" r:id="rId2"/>
    <sheet name="3rd day" sheetId="4" r:id="rId3"/>
    <sheet name="4thday" sheetId="5" r:id="rId4"/>
    <sheet name="5th to 15th day" sheetId="6" r:id="rId5"/>
    <sheet name="16th to 17th day" sheetId="7" r:id="rId6"/>
    <sheet name="18th to 22th day" sheetId="8" r:id="rId7"/>
    <sheet name="Summary month" sheetId="9" r:id="rId8"/>
  </sheets>
  <functionGroups builtInGroupCount="19"/>
  <definedNames>
    <definedName name="_xlnm._FilterDatabase" localSheetId="0" hidden="1">'1st day'!$A$3:$BF$53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3" i="9" l="1"/>
  <c r="B53" i="9"/>
  <c r="A53" i="9"/>
  <c r="C52" i="9"/>
  <c r="B52" i="9"/>
  <c r="A52" i="9"/>
  <c r="C51" i="9"/>
  <c r="B51" i="9"/>
  <c r="A51" i="9"/>
  <c r="C50" i="9"/>
  <c r="B50" i="9"/>
  <c r="A50" i="9"/>
  <c r="C49" i="9"/>
  <c r="B49" i="9"/>
  <c r="A49" i="9"/>
  <c r="C48" i="9"/>
  <c r="B48" i="9"/>
  <c r="A48" i="9"/>
  <c r="C47" i="9"/>
  <c r="B47" i="9"/>
  <c r="A47" i="9"/>
  <c r="C46" i="9"/>
  <c r="B46" i="9"/>
  <c r="A46" i="9"/>
  <c r="C45" i="9"/>
  <c r="B45" i="9"/>
  <c r="A45" i="9"/>
  <c r="C44" i="9"/>
  <c r="B44" i="9"/>
  <c r="A44" i="9"/>
  <c r="C43" i="9"/>
  <c r="B43" i="9"/>
  <c r="A43" i="9"/>
  <c r="C42" i="9"/>
  <c r="B42" i="9"/>
  <c r="A42" i="9"/>
  <c r="C41" i="9"/>
  <c r="B41" i="9"/>
  <c r="A41" i="9"/>
  <c r="C40" i="9"/>
  <c r="B40" i="9"/>
  <c r="A40" i="9"/>
  <c r="C39" i="9"/>
  <c r="B39" i="9"/>
  <c r="A39" i="9"/>
  <c r="C38" i="9"/>
  <c r="B38" i="9"/>
  <c r="A38" i="9"/>
  <c r="C37" i="9"/>
  <c r="B37" i="9"/>
  <c r="A37" i="9"/>
  <c r="C36" i="9"/>
  <c r="B36" i="9"/>
  <c r="A36" i="9"/>
  <c r="C35" i="9"/>
  <c r="B35" i="9"/>
  <c r="A35" i="9"/>
  <c r="C34" i="9"/>
  <c r="B34" i="9"/>
  <c r="A34" i="9"/>
  <c r="C33" i="9"/>
  <c r="B33" i="9"/>
  <c r="A33" i="9"/>
  <c r="C32" i="9"/>
  <c r="B32" i="9"/>
  <c r="A32" i="9"/>
  <c r="C31" i="9"/>
  <c r="B31" i="9"/>
  <c r="A31" i="9"/>
  <c r="C30" i="9"/>
  <c r="B30" i="9"/>
  <c r="A30" i="9"/>
  <c r="C29" i="9"/>
  <c r="B29" i="9"/>
  <c r="A29" i="9"/>
  <c r="C28" i="9"/>
  <c r="B28" i="9"/>
  <c r="A28" i="9"/>
  <c r="C27" i="9"/>
  <c r="B27" i="9"/>
  <c r="A27" i="9"/>
  <c r="C26" i="9"/>
  <c r="B26" i="9"/>
  <c r="A26" i="9"/>
  <c r="C25" i="9"/>
  <c r="B25" i="9"/>
  <c r="A25" i="9"/>
  <c r="C24" i="9"/>
  <c r="B24" i="9"/>
  <c r="A24" i="9"/>
  <c r="C23" i="9"/>
  <c r="B23" i="9"/>
  <c r="A23" i="9"/>
  <c r="C22" i="9"/>
  <c r="B22" i="9"/>
  <c r="A22" i="9"/>
  <c r="C21" i="9"/>
  <c r="B21" i="9"/>
  <c r="A21" i="9"/>
  <c r="C20" i="9"/>
  <c r="B20" i="9"/>
  <c r="A20" i="9"/>
  <c r="C19" i="9"/>
  <c r="B19" i="9"/>
  <c r="A19" i="9"/>
  <c r="C18" i="9"/>
  <c r="B18" i="9"/>
  <c r="A18" i="9"/>
  <c r="C17" i="9"/>
  <c r="B17" i="9"/>
  <c r="A17" i="9"/>
  <c r="C16" i="9"/>
  <c r="B16" i="9"/>
  <c r="A16" i="9"/>
  <c r="C15" i="9"/>
  <c r="B15" i="9"/>
  <c r="A15" i="9"/>
  <c r="C14" i="9"/>
  <c r="B14" i="9"/>
  <c r="A14" i="9"/>
  <c r="C13" i="9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C7" i="9"/>
  <c r="B7" i="9"/>
  <c r="B61" i="9" s="1"/>
  <c r="A7" i="9"/>
  <c r="C6" i="9"/>
  <c r="B6" i="9"/>
  <c r="A6" i="9"/>
  <c r="A60" i="9" s="1"/>
  <c r="C5" i="9"/>
  <c r="B5" i="9"/>
  <c r="A5" i="9"/>
  <c r="C4" i="9"/>
  <c r="C63" i="9" s="1"/>
  <c r="B4" i="9"/>
  <c r="B62" i="9" s="1"/>
  <c r="A4" i="9"/>
  <c r="A61" i="9" s="1"/>
  <c r="E53" i="8"/>
  <c r="C53" i="8"/>
  <c r="F53" i="8" s="1"/>
  <c r="B53" i="8"/>
  <c r="E52" i="8"/>
  <c r="G52" i="8" s="1"/>
  <c r="B52" i="8"/>
  <c r="C52" i="8" s="1"/>
  <c r="F52" i="8" s="1"/>
  <c r="B51" i="8"/>
  <c r="E51" i="8" s="1"/>
  <c r="B50" i="8"/>
  <c r="E49" i="8"/>
  <c r="C49" i="8"/>
  <c r="F49" i="8" s="1"/>
  <c r="B49" i="8"/>
  <c r="E48" i="8"/>
  <c r="B48" i="8"/>
  <c r="C48" i="8" s="1"/>
  <c r="F48" i="8" s="1"/>
  <c r="B47" i="8"/>
  <c r="E47" i="8" s="1"/>
  <c r="B46" i="8"/>
  <c r="E45" i="8"/>
  <c r="C45" i="8"/>
  <c r="F45" i="8" s="1"/>
  <c r="B45" i="8"/>
  <c r="E44" i="8"/>
  <c r="B44" i="8"/>
  <c r="C44" i="8" s="1"/>
  <c r="F44" i="8" s="1"/>
  <c r="B43" i="8"/>
  <c r="E43" i="8" s="1"/>
  <c r="B42" i="8"/>
  <c r="E41" i="8"/>
  <c r="G41" i="8" s="1"/>
  <c r="C41" i="8"/>
  <c r="F41" i="8" s="1"/>
  <c r="B41" i="8"/>
  <c r="E40" i="8"/>
  <c r="B40" i="8"/>
  <c r="C40" i="8" s="1"/>
  <c r="F40" i="8" s="1"/>
  <c r="B39" i="8"/>
  <c r="E39" i="8" s="1"/>
  <c r="B38" i="8"/>
  <c r="E37" i="8"/>
  <c r="G37" i="8" s="1"/>
  <c r="C37" i="8"/>
  <c r="F37" i="8" s="1"/>
  <c r="B37" i="8"/>
  <c r="E36" i="8"/>
  <c r="G36" i="8" s="1"/>
  <c r="B36" i="8"/>
  <c r="C36" i="8" s="1"/>
  <c r="F36" i="8" s="1"/>
  <c r="B35" i="8"/>
  <c r="E35" i="8" s="1"/>
  <c r="B34" i="8"/>
  <c r="E33" i="8"/>
  <c r="C33" i="8"/>
  <c r="F33" i="8" s="1"/>
  <c r="B33" i="8"/>
  <c r="E32" i="8"/>
  <c r="G32" i="8" s="1"/>
  <c r="B32" i="8"/>
  <c r="C32" i="8" s="1"/>
  <c r="F32" i="8" s="1"/>
  <c r="B31" i="8"/>
  <c r="E31" i="8" s="1"/>
  <c r="B30" i="8"/>
  <c r="E29" i="8"/>
  <c r="C29" i="8"/>
  <c r="F29" i="8" s="1"/>
  <c r="B29" i="8"/>
  <c r="E28" i="8"/>
  <c r="B28" i="8"/>
  <c r="C28" i="8" s="1"/>
  <c r="F28" i="8" s="1"/>
  <c r="B27" i="8"/>
  <c r="E27" i="8" s="1"/>
  <c r="B26" i="8"/>
  <c r="E25" i="8"/>
  <c r="G25" i="8" s="1"/>
  <c r="C25" i="8"/>
  <c r="F25" i="8" s="1"/>
  <c r="B25" i="8"/>
  <c r="E24" i="8"/>
  <c r="B24" i="8"/>
  <c r="C24" i="8" s="1"/>
  <c r="F24" i="8" s="1"/>
  <c r="B23" i="8"/>
  <c r="E23" i="8" s="1"/>
  <c r="B22" i="8"/>
  <c r="E21" i="8"/>
  <c r="G21" i="8" s="1"/>
  <c r="C21" i="8"/>
  <c r="F21" i="8" s="1"/>
  <c r="B21" i="8"/>
  <c r="E20" i="8"/>
  <c r="G20" i="8" s="1"/>
  <c r="B20" i="8"/>
  <c r="C20" i="8" s="1"/>
  <c r="F20" i="8" s="1"/>
  <c r="B19" i="8"/>
  <c r="E19" i="8" s="1"/>
  <c r="B18" i="8"/>
  <c r="E17" i="8"/>
  <c r="C17" i="8"/>
  <c r="F17" i="8" s="1"/>
  <c r="B17" i="8"/>
  <c r="E16" i="8"/>
  <c r="B16" i="8"/>
  <c r="C16" i="8" s="1"/>
  <c r="F16" i="8" s="1"/>
  <c r="B15" i="8"/>
  <c r="C14" i="8"/>
  <c r="F14" i="8" s="1"/>
  <c r="G14" i="8" s="1"/>
  <c r="B14" i="8"/>
  <c r="E14" i="8" s="1"/>
  <c r="E13" i="8"/>
  <c r="C13" i="8"/>
  <c r="F13" i="8" s="1"/>
  <c r="B13" i="8"/>
  <c r="E12" i="8"/>
  <c r="B12" i="8"/>
  <c r="C12" i="8" s="1"/>
  <c r="F12" i="8" s="1"/>
  <c r="B11" i="8"/>
  <c r="C10" i="8"/>
  <c r="F10" i="8" s="1"/>
  <c r="G10" i="8" s="1"/>
  <c r="B10" i="8"/>
  <c r="E10" i="8" s="1"/>
  <c r="E9" i="8"/>
  <c r="C9" i="8"/>
  <c r="F9" i="8" s="1"/>
  <c r="B9" i="8"/>
  <c r="E8" i="8"/>
  <c r="B8" i="8"/>
  <c r="C8" i="8" s="1"/>
  <c r="F8" i="8" s="1"/>
  <c r="B7" i="8"/>
  <c r="C6" i="8"/>
  <c r="F6" i="8" s="1"/>
  <c r="G6" i="8" s="1"/>
  <c r="B6" i="8"/>
  <c r="E6" i="8" s="1"/>
  <c r="E5" i="8"/>
  <c r="C5" i="8"/>
  <c r="F5" i="8" s="1"/>
  <c r="B5" i="8"/>
  <c r="E4" i="8"/>
  <c r="B4" i="8"/>
  <c r="C4" i="8" s="1"/>
  <c r="B58" i="7"/>
  <c r="B57" i="7"/>
  <c r="B56" i="7"/>
  <c r="B55" i="7"/>
  <c r="E53" i="7"/>
  <c r="C53" i="7"/>
  <c r="F53" i="7" s="1"/>
  <c r="E52" i="7"/>
  <c r="C52" i="7"/>
  <c r="F52" i="7" s="1"/>
  <c r="E51" i="7"/>
  <c r="C51" i="7"/>
  <c r="F51" i="7" s="1"/>
  <c r="E50" i="7"/>
  <c r="C50" i="7"/>
  <c r="F50" i="7" s="1"/>
  <c r="E49" i="7"/>
  <c r="C49" i="7"/>
  <c r="F49" i="7" s="1"/>
  <c r="E48" i="7"/>
  <c r="C48" i="7"/>
  <c r="F48" i="7" s="1"/>
  <c r="E47" i="7"/>
  <c r="C47" i="7"/>
  <c r="F47" i="7" s="1"/>
  <c r="E46" i="7"/>
  <c r="C46" i="7"/>
  <c r="F46" i="7" s="1"/>
  <c r="E45" i="7"/>
  <c r="C45" i="7"/>
  <c r="F45" i="7" s="1"/>
  <c r="E44" i="7"/>
  <c r="C44" i="7"/>
  <c r="F44" i="7" s="1"/>
  <c r="E43" i="7"/>
  <c r="C43" i="7"/>
  <c r="F43" i="7" s="1"/>
  <c r="E42" i="7"/>
  <c r="C42" i="7"/>
  <c r="F42" i="7" s="1"/>
  <c r="E41" i="7"/>
  <c r="C41" i="7"/>
  <c r="F41" i="7" s="1"/>
  <c r="E40" i="7"/>
  <c r="C40" i="7"/>
  <c r="F40" i="7" s="1"/>
  <c r="E39" i="7"/>
  <c r="C39" i="7"/>
  <c r="F39" i="7" s="1"/>
  <c r="E38" i="7"/>
  <c r="C38" i="7"/>
  <c r="F38" i="7" s="1"/>
  <c r="E37" i="7"/>
  <c r="C37" i="7"/>
  <c r="F37" i="7" s="1"/>
  <c r="E36" i="7"/>
  <c r="C36" i="7"/>
  <c r="F36" i="7" s="1"/>
  <c r="E35" i="7"/>
  <c r="C35" i="7"/>
  <c r="F35" i="7" s="1"/>
  <c r="E34" i="7"/>
  <c r="C34" i="7"/>
  <c r="F34" i="7" s="1"/>
  <c r="E33" i="7"/>
  <c r="C33" i="7"/>
  <c r="F33" i="7" s="1"/>
  <c r="E32" i="7"/>
  <c r="C32" i="7"/>
  <c r="F32" i="7" s="1"/>
  <c r="E31" i="7"/>
  <c r="C31" i="7"/>
  <c r="F31" i="7" s="1"/>
  <c r="E30" i="7"/>
  <c r="C30" i="7"/>
  <c r="F30" i="7" s="1"/>
  <c r="E29" i="7"/>
  <c r="C29" i="7"/>
  <c r="F29" i="7" s="1"/>
  <c r="E28" i="7"/>
  <c r="C28" i="7"/>
  <c r="F28" i="7" s="1"/>
  <c r="E27" i="7"/>
  <c r="C27" i="7"/>
  <c r="F27" i="7" s="1"/>
  <c r="E26" i="7"/>
  <c r="C26" i="7"/>
  <c r="F26" i="7" s="1"/>
  <c r="E25" i="7"/>
  <c r="C25" i="7"/>
  <c r="F25" i="7" s="1"/>
  <c r="E24" i="7"/>
  <c r="C24" i="7"/>
  <c r="F24" i="7" s="1"/>
  <c r="E23" i="7"/>
  <c r="C23" i="7"/>
  <c r="F23" i="7" s="1"/>
  <c r="E22" i="7"/>
  <c r="C22" i="7"/>
  <c r="F22" i="7" s="1"/>
  <c r="E21" i="7"/>
  <c r="C21" i="7"/>
  <c r="F21" i="7" s="1"/>
  <c r="E20" i="7"/>
  <c r="C20" i="7"/>
  <c r="F20" i="7" s="1"/>
  <c r="E19" i="7"/>
  <c r="C19" i="7"/>
  <c r="F19" i="7" s="1"/>
  <c r="E18" i="7"/>
  <c r="C18" i="7"/>
  <c r="F18" i="7" s="1"/>
  <c r="E17" i="7"/>
  <c r="C17" i="7"/>
  <c r="F17" i="7" s="1"/>
  <c r="E16" i="7"/>
  <c r="C16" i="7"/>
  <c r="F16" i="7" s="1"/>
  <c r="E15" i="7"/>
  <c r="C15" i="7"/>
  <c r="F15" i="7" s="1"/>
  <c r="E14" i="7"/>
  <c r="C14" i="7"/>
  <c r="F14" i="7" s="1"/>
  <c r="E13" i="7"/>
  <c r="C13" i="7"/>
  <c r="F13" i="7" s="1"/>
  <c r="E12" i="7"/>
  <c r="C12" i="7"/>
  <c r="F12" i="7" s="1"/>
  <c r="E11" i="7"/>
  <c r="C11" i="7"/>
  <c r="F11" i="7" s="1"/>
  <c r="E10" i="7"/>
  <c r="C10" i="7"/>
  <c r="F10" i="7" s="1"/>
  <c r="E9" i="7"/>
  <c r="C9" i="7"/>
  <c r="F9" i="7" s="1"/>
  <c r="E8" i="7"/>
  <c r="C8" i="7"/>
  <c r="F8" i="7" s="1"/>
  <c r="E7" i="7"/>
  <c r="C7" i="7"/>
  <c r="F7" i="7" s="1"/>
  <c r="E6" i="7"/>
  <c r="C6" i="7"/>
  <c r="F6" i="7" s="1"/>
  <c r="E5" i="7"/>
  <c r="C5" i="7"/>
  <c r="F5" i="7" s="1"/>
  <c r="B5" i="7"/>
  <c r="F4" i="7"/>
  <c r="E4" i="7"/>
  <c r="E58" i="7" s="1"/>
  <c r="C4" i="7"/>
  <c r="C58" i="7" s="1"/>
  <c r="B4" i="7"/>
  <c r="E53" i="6"/>
  <c r="C53" i="6"/>
  <c r="F53" i="6" s="1"/>
  <c r="B53" i="6"/>
  <c r="E52" i="6"/>
  <c r="G52" i="6" s="1"/>
  <c r="B52" i="6"/>
  <c r="C52" i="6" s="1"/>
  <c r="F52" i="6" s="1"/>
  <c r="F51" i="6"/>
  <c r="C51" i="6"/>
  <c r="B51" i="6"/>
  <c r="E51" i="6" s="1"/>
  <c r="G51" i="6" s="1"/>
  <c r="B50" i="6"/>
  <c r="E50" i="6" s="1"/>
  <c r="E49" i="6"/>
  <c r="C49" i="6"/>
  <c r="F49" i="6" s="1"/>
  <c r="B49" i="6"/>
  <c r="E48" i="6"/>
  <c r="B48" i="6"/>
  <c r="C48" i="6" s="1"/>
  <c r="F48" i="6" s="1"/>
  <c r="F47" i="6"/>
  <c r="C47" i="6"/>
  <c r="B47" i="6"/>
  <c r="E47" i="6" s="1"/>
  <c r="G47" i="6" s="1"/>
  <c r="B46" i="6"/>
  <c r="E46" i="6" s="1"/>
  <c r="E45" i="6"/>
  <c r="C45" i="6"/>
  <c r="F45" i="6" s="1"/>
  <c r="B45" i="6"/>
  <c r="E44" i="6"/>
  <c r="B44" i="6"/>
  <c r="C44" i="6" s="1"/>
  <c r="F44" i="6" s="1"/>
  <c r="F43" i="6"/>
  <c r="C43" i="6"/>
  <c r="B43" i="6"/>
  <c r="E43" i="6" s="1"/>
  <c r="G43" i="6" s="1"/>
  <c r="B42" i="6"/>
  <c r="E42" i="6" s="1"/>
  <c r="E41" i="6"/>
  <c r="G41" i="6" s="1"/>
  <c r="C41" i="6"/>
  <c r="F41" i="6" s="1"/>
  <c r="B41" i="6"/>
  <c r="E40" i="6"/>
  <c r="B40" i="6"/>
  <c r="C40" i="6" s="1"/>
  <c r="F40" i="6" s="1"/>
  <c r="F39" i="6"/>
  <c r="C39" i="6"/>
  <c r="B39" i="6"/>
  <c r="E39" i="6" s="1"/>
  <c r="G39" i="6" s="1"/>
  <c r="B38" i="6"/>
  <c r="E38" i="6" s="1"/>
  <c r="E37" i="6"/>
  <c r="C37" i="6"/>
  <c r="F37" i="6" s="1"/>
  <c r="B37" i="6"/>
  <c r="E36" i="6"/>
  <c r="G36" i="6" s="1"/>
  <c r="B36" i="6"/>
  <c r="C36" i="6" s="1"/>
  <c r="F36" i="6" s="1"/>
  <c r="F35" i="6"/>
  <c r="C35" i="6"/>
  <c r="B35" i="6"/>
  <c r="E35" i="6" s="1"/>
  <c r="G35" i="6" s="1"/>
  <c r="B34" i="6"/>
  <c r="E34" i="6" s="1"/>
  <c r="C33" i="6"/>
  <c r="F33" i="6" s="1"/>
  <c r="B33" i="6"/>
  <c r="E33" i="6" s="1"/>
  <c r="G33" i="6" s="1"/>
  <c r="E32" i="6"/>
  <c r="G32" i="6" s="1"/>
  <c r="B32" i="6"/>
  <c r="C32" i="6" s="1"/>
  <c r="F32" i="6" s="1"/>
  <c r="F31" i="6"/>
  <c r="C31" i="6"/>
  <c r="B31" i="6"/>
  <c r="E31" i="6" s="1"/>
  <c r="G31" i="6" s="1"/>
  <c r="B30" i="6"/>
  <c r="E30" i="6" s="1"/>
  <c r="C29" i="6"/>
  <c r="F29" i="6" s="1"/>
  <c r="B29" i="6"/>
  <c r="E29" i="6" s="1"/>
  <c r="G29" i="6" s="1"/>
  <c r="E28" i="6"/>
  <c r="G28" i="6" s="1"/>
  <c r="B28" i="6"/>
  <c r="C28" i="6" s="1"/>
  <c r="F28" i="6" s="1"/>
  <c r="F27" i="6"/>
  <c r="C27" i="6"/>
  <c r="B27" i="6"/>
  <c r="E27" i="6" s="1"/>
  <c r="G27" i="6" s="1"/>
  <c r="B26" i="6"/>
  <c r="E26" i="6" s="1"/>
  <c r="C25" i="6"/>
  <c r="F25" i="6" s="1"/>
  <c r="B25" i="6"/>
  <c r="E25" i="6" s="1"/>
  <c r="G25" i="6" s="1"/>
  <c r="E24" i="6"/>
  <c r="G24" i="6" s="1"/>
  <c r="B24" i="6"/>
  <c r="C24" i="6" s="1"/>
  <c r="F24" i="6" s="1"/>
  <c r="F23" i="6"/>
  <c r="C23" i="6"/>
  <c r="B23" i="6"/>
  <c r="E23" i="6" s="1"/>
  <c r="G23" i="6" s="1"/>
  <c r="B22" i="6"/>
  <c r="E22" i="6" s="1"/>
  <c r="C21" i="6"/>
  <c r="F21" i="6" s="1"/>
  <c r="B21" i="6"/>
  <c r="E21" i="6" s="1"/>
  <c r="G21" i="6" s="1"/>
  <c r="E20" i="6"/>
  <c r="G20" i="6" s="1"/>
  <c r="B20" i="6"/>
  <c r="C20" i="6" s="1"/>
  <c r="F20" i="6" s="1"/>
  <c r="F19" i="6"/>
  <c r="C19" i="6"/>
  <c r="B19" i="6"/>
  <c r="E19" i="6" s="1"/>
  <c r="G19" i="6" s="1"/>
  <c r="B18" i="6"/>
  <c r="E18" i="6" s="1"/>
  <c r="C17" i="6"/>
  <c r="F17" i="6" s="1"/>
  <c r="B17" i="6"/>
  <c r="E17" i="6" s="1"/>
  <c r="G17" i="6" s="1"/>
  <c r="E16" i="6"/>
  <c r="G16" i="6" s="1"/>
  <c r="B16" i="6"/>
  <c r="C16" i="6" s="1"/>
  <c r="F16" i="6" s="1"/>
  <c r="F15" i="6"/>
  <c r="C15" i="6"/>
  <c r="B15" i="6"/>
  <c r="E15" i="6" s="1"/>
  <c r="G15" i="6" s="1"/>
  <c r="B14" i="6"/>
  <c r="E14" i="6" s="1"/>
  <c r="C13" i="6"/>
  <c r="F13" i="6" s="1"/>
  <c r="B13" i="6"/>
  <c r="E13" i="6" s="1"/>
  <c r="G13" i="6" s="1"/>
  <c r="E12" i="6"/>
  <c r="G12" i="6" s="1"/>
  <c r="B12" i="6"/>
  <c r="C12" i="6" s="1"/>
  <c r="F12" i="6" s="1"/>
  <c r="F11" i="6"/>
  <c r="C11" i="6"/>
  <c r="B11" i="6"/>
  <c r="E11" i="6" s="1"/>
  <c r="G11" i="6" s="1"/>
  <c r="B10" i="6"/>
  <c r="E10" i="6" s="1"/>
  <c r="C9" i="6"/>
  <c r="F9" i="6" s="1"/>
  <c r="B9" i="6"/>
  <c r="E9" i="6" s="1"/>
  <c r="G9" i="6" s="1"/>
  <c r="E8" i="6"/>
  <c r="G8" i="6" s="1"/>
  <c r="B8" i="6"/>
  <c r="C8" i="6" s="1"/>
  <c r="F8" i="6" s="1"/>
  <c r="F7" i="6"/>
  <c r="C7" i="6"/>
  <c r="B7" i="6"/>
  <c r="E7" i="6" s="1"/>
  <c r="G7" i="6" s="1"/>
  <c r="B6" i="6"/>
  <c r="B55" i="6" s="1"/>
  <c r="C5" i="6"/>
  <c r="F5" i="6" s="1"/>
  <c r="B5" i="6"/>
  <c r="E5" i="6" s="1"/>
  <c r="G5" i="6" s="1"/>
  <c r="E4" i="6"/>
  <c r="B4" i="6"/>
  <c r="C4" i="6" s="1"/>
  <c r="B58" i="5"/>
  <c r="B57" i="5"/>
  <c r="B56" i="5"/>
  <c r="B55" i="5"/>
  <c r="E53" i="5"/>
  <c r="C53" i="5"/>
  <c r="F53" i="5" s="1"/>
  <c r="E52" i="5"/>
  <c r="C52" i="5"/>
  <c r="F52" i="5" s="1"/>
  <c r="E51" i="5"/>
  <c r="C51" i="5"/>
  <c r="F51" i="5" s="1"/>
  <c r="E50" i="5"/>
  <c r="C50" i="5"/>
  <c r="F50" i="5" s="1"/>
  <c r="E49" i="5"/>
  <c r="C49" i="5"/>
  <c r="F49" i="5" s="1"/>
  <c r="E48" i="5"/>
  <c r="C48" i="5"/>
  <c r="F48" i="5" s="1"/>
  <c r="E47" i="5"/>
  <c r="C47" i="5"/>
  <c r="F47" i="5" s="1"/>
  <c r="E46" i="5"/>
  <c r="C46" i="5"/>
  <c r="F46" i="5" s="1"/>
  <c r="E45" i="5"/>
  <c r="C45" i="5"/>
  <c r="F45" i="5" s="1"/>
  <c r="E44" i="5"/>
  <c r="C44" i="5"/>
  <c r="F44" i="5" s="1"/>
  <c r="E43" i="5"/>
  <c r="C43" i="5"/>
  <c r="F43" i="5" s="1"/>
  <c r="E42" i="5"/>
  <c r="C42" i="5"/>
  <c r="F42" i="5" s="1"/>
  <c r="E41" i="5"/>
  <c r="C41" i="5"/>
  <c r="F41" i="5" s="1"/>
  <c r="E40" i="5"/>
  <c r="C40" i="5"/>
  <c r="F40" i="5" s="1"/>
  <c r="E39" i="5"/>
  <c r="C39" i="5"/>
  <c r="F39" i="5" s="1"/>
  <c r="E38" i="5"/>
  <c r="C38" i="5"/>
  <c r="F38" i="5" s="1"/>
  <c r="E37" i="5"/>
  <c r="C37" i="5"/>
  <c r="F37" i="5" s="1"/>
  <c r="E36" i="5"/>
  <c r="C36" i="5"/>
  <c r="F36" i="5" s="1"/>
  <c r="E35" i="5"/>
  <c r="C35" i="5"/>
  <c r="F35" i="5" s="1"/>
  <c r="E34" i="5"/>
  <c r="C34" i="5"/>
  <c r="F34" i="5" s="1"/>
  <c r="E33" i="5"/>
  <c r="C33" i="5"/>
  <c r="F33" i="5" s="1"/>
  <c r="E32" i="5"/>
  <c r="C32" i="5"/>
  <c r="F32" i="5" s="1"/>
  <c r="E31" i="5"/>
  <c r="C31" i="5"/>
  <c r="F31" i="5" s="1"/>
  <c r="E30" i="5"/>
  <c r="C30" i="5"/>
  <c r="F30" i="5" s="1"/>
  <c r="E29" i="5"/>
  <c r="C29" i="5"/>
  <c r="F29" i="5" s="1"/>
  <c r="E28" i="5"/>
  <c r="C28" i="5"/>
  <c r="F28" i="5" s="1"/>
  <c r="E27" i="5"/>
  <c r="C27" i="5"/>
  <c r="F27" i="5" s="1"/>
  <c r="E26" i="5"/>
  <c r="C26" i="5"/>
  <c r="F26" i="5" s="1"/>
  <c r="E25" i="5"/>
  <c r="C25" i="5"/>
  <c r="F25" i="5" s="1"/>
  <c r="E24" i="5"/>
  <c r="C24" i="5"/>
  <c r="F24" i="5" s="1"/>
  <c r="E23" i="5"/>
  <c r="C23" i="5"/>
  <c r="F23" i="5" s="1"/>
  <c r="E22" i="5"/>
  <c r="C22" i="5"/>
  <c r="F22" i="5" s="1"/>
  <c r="E21" i="5"/>
  <c r="C21" i="5"/>
  <c r="F21" i="5" s="1"/>
  <c r="E20" i="5"/>
  <c r="C20" i="5"/>
  <c r="F20" i="5" s="1"/>
  <c r="E19" i="5"/>
  <c r="C19" i="5"/>
  <c r="F19" i="5" s="1"/>
  <c r="E18" i="5"/>
  <c r="C18" i="5"/>
  <c r="F18" i="5" s="1"/>
  <c r="E17" i="5"/>
  <c r="C17" i="5"/>
  <c r="F17" i="5" s="1"/>
  <c r="E16" i="5"/>
  <c r="C16" i="5"/>
  <c r="F16" i="5" s="1"/>
  <c r="E15" i="5"/>
  <c r="C15" i="5"/>
  <c r="F15" i="5" s="1"/>
  <c r="E14" i="5"/>
  <c r="C14" i="5"/>
  <c r="F14" i="5" s="1"/>
  <c r="E13" i="5"/>
  <c r="C13" i="5"/>
  <c r="F13" i="5" s="1"/>
  <c r="E12" i="5"/>
  <c r="C12" i="5"/>
  <c r="F12" i="5" s="1"/>
  <c r="E11" i="5"/>
  <c r="C11" i="5"/>
  <c r="F11" i="5" s="1"/>
  <c r="E10" i="5"/>
  <c r="C10" i="5"/>
  <c r="F10" i="5" s="1"/>
  <c r="E9" i="5"/>
  <c r="C9" i="5"/>
  <c r="F9" i="5" s="1"/>
  <c r="E8" i="5"/>
  <c r="C8" i="5"/>
  <c r="F8" i="5" s="1"/>
  <c r="E7" i="5"/>
  <c r="C7" i="5"/>
  <c r="F7" i="5" s="1"/>
  <c r="E6" i="5"/>
  <c r="C6" i="5"/>
  <c r="F6" i="5" s="1"/>
  <c r="E5" i="5"/>
  <c r="C5" i="5"/>
  <c r="F5" i="5" s="1"/>
  <c r="E4" i="5"/>
  <c r="C4" i="5"/>
  <c r="F4" i="5" s="1"/>
  <c r="B58" i="4"/>
  <c r="B57" i="4"/>
  <c r="B56" i="4"/>
  <c r="B55" i="4"/>
  <c r="E53" i="4"/>
  <c r="C53" i="4"/>
  <c r="F53" i="4" s="1"/>
  <c r="G53" i="4" s="1"/>
  <c r="E52" i="4"/>
  <c r="C52" i="4"/>
  <c r="F52" i="4" s="1"/>
  <c r="G52" i="4" s="1"/>
  <c r="E51" i="4"/>
  <c r="C51" i="4"/>
  <c r="F51" i="4" s="1"/>
  <c r="G51" i="4" s="1"/>
  <c r="E50" i="4"/>
  <c r="C50" i="4"/>
  <c r="F50" i="4" s="1"/>
  <c r="G50" i="4" s="1"/>
  <c r="E49" i="4"/>
  <c r="C49" i="4"/>
  <c r="F49" i="4" s="1"/>
  <c r="G49" i="4" s="1"/>
  <c r="E48" i="4"/>
  <c r="C48" i="4"/>
  <c r="F48" i="4" s="1"/>
  <c r="G48" i="4" s="1"/>
  <c r="E47" i="4"/>
  <c r="C47" i="4"/>
  <c r="F47" i="4" s="1"/>
  <c r="G47" i="4" s="1"/>
  <c r="E46" i="4"/>
  <c r="C46" i="4"/>
  <c r="F46" i="4" s="1"/>
  <c r="G46" i="4" s="1"/>
  <c r="E45" i="4"/>
  <c r="C45" i="4"/>
  <c r="F45" i="4" s="1"/>
  <c r="G45" i="4" s="1"/>
  <c r="E44" i="4"/>
  <c r="C44" i="4"/>
  <c r="F44" i="4" s="1"/>
  <c r="G44" i="4" s="1"/>
  <c r="E43" i="4"/>
  <c r="C43" i="4"/>
  <c r="F43" i="4" s="1"/>
  <c r="G43" i="4" s="1"/>
  <c r="E42" i="4"/>
  <c r="C42" i="4"/>
  <c r="F42" i="4" s="1"/>
  <c r="G42" i="4" s="1"/>
  <c r="E41" i="4"/>
  <c r="C41" i="4"/>
  <c r="F41" i="4" s="1"/>
  <c r="G41" i="4" s="1"/>
  <c r="E40" i="4"/>
  <c r="C40" i="4"/>
  <c r="F40" i="4" s="1"/>
  <c r="G40" i="4" s="1"/>
  <c r="E39" i="4"/>
  <c r="C39" i="4"/>
  <c r="F39" i="4" s="1"/>
  <c r="G39" i="4" s="1"/>
  <c r="E38" i="4"/>
  <c r="C38" i="4"/>
  <c r="F38" i="4" s="1"/>
  <c r="G38" i="4" s="1"/>
  <c r="E37" i="4"/>
  <c r="C37" i="4"/>
  <c r="F37" i="4" s="1"/>
  <c r="G37" i="4" s="1"/>
  <c r="E36" i="4"/>
  <c r="C36" i="4"/>
  <c r="F36" i="4" s="1"/>
  <c r="G36" i="4" s="1"/>
  <c r="E35" i="4"/>
  <c r="C35" i="4"/>
  <c r="F35" i="4" s="1"/>
  <c r="G35" i="4" s="1"/>
  <c r="E34" i="4"/>
  <c r="C34" i="4"/>
  <c r="F34" i="4" s="1"/>
  <c r="G34" i="4" s="1"/>
  <c r="E33" i="4"/>
  <c r="C33" i="4"/>
  <c r="F33" i="4" s="1"/>
  <c r="G33" i="4" s="1"/>
  <c r="E32" i="4"/>
  <c r="C32" i="4"/>
  <c r="F32" i="4" s="1"/>
  <c r="G32" i="4" s="1"/>
  <c r="E31" i="4"/>
  <c r="C31" i="4"/>
  <c r="F31" i="4" s="1"/>
  <c r="G31" i="4" s="1"/>
  <c r="E30" i="4"/>
  <c r="C30" i="4"/>
  <c r="F30" i="4" s="1"/>
  <c r="G30" i="4" s="1"/>
  <c r="E29" i="4"/>
  <c r="C29" i="4"/>
  <c r="F29" i="4" s="1"/>
  <c r="G29" i="4" s="1"/>
  <c r="E28" i="4"/>
  <c r="C28" i="4"/>
  <c r="F28" i="4" s="1"/>
  <c r="G28" i="4" s="1"/>
  <c r="E27" i="4"/>
  <c r="C27" i="4"/>
  <c r="F27" i="4" s="1"/>
  <c r="G27" i="4" s="1"/>
  <c r="E26" i="4"/>
  <c r="C26" i="4"/>
  <c r="F26" i="4" s="1"/>
  <c r="G26" i="4" s="1"/>
  <c r="E25" i="4"/>
  <c r="C25" i="4"/>
  <c r="F25" i="4" s="1"/>
  <c r="G25" i="4" s="1"/>
  <c r="E24" i="4"/>
  <c r="C24" i="4"/>
  <c r="F24" i="4" s="1"/>
  <c r="G24" i="4" s="1"/>
  <c r="E23" i="4"/>
  <c r="C23" i="4"/>
  <c r="F23" i="4" s="1"/>
  <c r="G23" i="4" s="1"/>
  <c r="E22" i="4"/>
  <c r="C22" i="4"/>
  <c r="F22" i="4" s="1"/>
  <c r="G22" i="4" s="1"/>
  <c r="E21" i="4"/>
  <c r="C21" i="4"/>
  <c r="F21" i="4" s="1"/>
  <c r="G21" i="4" s="1"/>
  <c r="E20" i="4"/>
  <c r="C20" i="4"/>
  <c r="F20" i="4" s="1"/>
  <c r="G20" i="4" s="1"/>
  <c r="E19" i="4"/>
  <c r="C19" i="4"/>
  <c r="F19" i="4" s="1"/>
  <c r="G19" i="4" s="1"/>
  <c r="E18" i="4"/>
  <c r="C18" i="4"/>
  <c r="F18" i="4" s="1"/>
  <c r="G18" i="4" s="1"/>
  <c r="E17" i="4"/>
  <c r="C17" i="4"/>
  <c r="F17" i="4" s="1"/>
  <c r="G17" i="4" s="1"/>
  <c r="E16" i="4"/>
  <c r="C16" i="4"/>
  <c r="F16" i="4" s="1"/>
  <c r="G16" i="4" s="1"/>
  <c r="E15" i="4"/>
  <c r="C15" i="4"/>
  <c r="F15" i="4" s="1"/>
  <c r="G15" i="4" s="1"/>
  <c r="E14" i="4"/>
  <c r="C14" i="4"/>
  <c r="F14" i="4" s="1"/>
  <c r="G14" i="4" s="1"/>
  <c r="E13" i="4"/>
  <c r="C13" i="4"/>
  <c r="F13" i="4" s="1"/>
  <c r="G13" i="4" s="1"/>
  <c r="E12" i="4"/>
  <c r="C12" i="4"/>
  <c r="F12" i="4" s="1"/>
  <c r="G12" i="4" s="1"/>
  <c r="E11" i="4"/>
  <c r="C11" i="4"/>
  <c r="F11" i="4" s="1"/>
  <c r="G11" i="4" s="1"/>
  <c r="E10" i="4"/>
  <c r="C10" i="4"/>
  <c r="F10" i="4" s="1"/>
  <c r="G10" i="4" s="1"/>
  <c r="E9" i="4"/>
  <c r="C9" i="4"/>
  <c r="F9" i="4" s="1"/>
  <c r="G9" i="4" s="1"/>
  <c r="E8" i="4"/>
  <c r="C8" i="4"/>
  <c r="F8" i="4" s="1"/>
  <c r="G8" i="4" s="1"/>
  <c r="E7" i="4"/>
  <c r="C7" i="4"/>
  <c r="F7" i="4" s="1"/>
  <c r="G7" i="4" s="1"/>
  <c r="E6" i="4"/>
  <c r="C6" i="4"/>
  <c r="F6" i="4" s="1"/>
  <c r="G6" i="4" s="1"/>
  <c r="E5" i="4"/>
  <c r="C5" i="4"/>
  <c r="F5" i="4" s="1"/>
  <c r="G5" i="4" s="1"/>
  <c r="E4" i="4"/>
  <c r="E58" i="4" s="1"/>
  <c r="C4" i="4"/>
  <c r="F4" i="4" s="1"/>
  <c r="G4" i="4" s="1"/>
  <c r="C56" i="3"/>
  <c r="B58" i="3"/>
  <c r="C57" i="3"/>
  <c r="B57" i="3"/>
  <c r="B56" i="3"/>
  <c r="B55" i="3"/>
  <c r="E53" i="3"/>
  <c r="C53" i="3"/>
  <c r="F53" i="3" s="1"/>
  <c r="E52" i="3"/>
  <c r="G52" i="3" s="1"/>
  <c r="C52" i="3"/>
  <c r="F52" i="3" s="1"/>
  <c r="E51" i="3"/>
  <c r="C51" i="3"/>
  <c r="F51" i="3" s="1"/>
  <c r="E50" i="3"/>
  <c r="G50" i="3" s="1"/>
  <c r="C50" i="3"/>
  <c r="F50" i="3" s="1"/>
  <c r="E49" i="3"/>
  <c r="C49" i="3"/>
  <c r="F49" i="3" s="1"/>
  <c r="E48" i="3"/>
  <c r="G48" i="3" s="1"/>
  <c r="C48" i="3"/>
  <c r="F48" i="3" s="1"/>
  <c r="E47" i="3"/>
  <c r="C47" i="3"/>
  <c r="F47" i="3" s="1"/>
  <c r="E46" i="3"/>
  <c r="G46" i="3" s="1"/>
  <c r="C46" i="3"/>
  <c r="F46" i="3" s="1"/>
  <c r="E45" i="3"/>
  <c r="C45" i="3"/>
  <c r="F45" i="3" s="1"/>
  <c r="E44" i="3"/>
  <c r="G44" i="3" s="1"/>
  <c r="C44" i="3"/>
  <c r="F44" i="3" s="1"/>
  <c r="E43" i="3"/>
  <c r="C43" i="3"/>
  <c r="F43" i="3" s="1"/>
  <c r="E42" i="3"/>
  <c r="G42" i="3" s="1"/>
  <c r="C42" i="3"/>
  <c r="F42" i="3" s="1"/>
  <c r="E41" i="3"/>
  <c r="C41" i="3"/>
  <c r="F41" i="3" s="1"/>
  <c r="E40" i="3"/>
  <c r="G40" i="3" s="1"/>
  <c r="C40" i="3"/>
  <c r="F40" i="3" s="1"/>
  <c r="E39" i="3"/>
  <c r="C39" i="3"/>
  <c r="F39" i="3" s="1"/>
  <c r="E38" i="3"/>
  <c r="G38" i="3" s="1"/>
  <c r="C38" i="3"/>
  <c r="F38" i="3" s="1"/>
  <c r="E37" i="3"/>
  <c r="C37" i="3"/>
  <c r="F37" i="3" s="1"/>
  <c r="E36" i="3"/>
  <c r="G36" i="3" s="1"/>
  <c r="C36" i="3"/>
  <c r="F36" i="3" s="1"/>
  <c r="E35" i="3"/>
  <c r="C35" i="3"/>
  <c r="F35" i="3" s="1"/>
  <c r="E34" i="3"/>
  <c r="G34" i="3" s="1"/>
  <c r="C34" i="3"/>
  <c r="F34" i="3" s="1"/>
  <c r="E33" i="3"/>
  <c r="C33" i="3"/>
  <c r="F33" i="3" s="1"/>
  <c r="E32" i="3"/>
  <c r="G32" i="3" s="1"/>
  <c r="C32" i="3"/>
  <c r="F32" i="3" s="1"/>
  <c r="E31" i="3"/>
  <c r="C31" i="3"/>
  <c r="F31" i="3" s="1"/>
  <c r="E30" i="3"/>
  <c r="G30" i="3" s="1"/>
  <c r="C30" i="3"/>
  <c r="F30" i="3" s="1"/>
  <c r="E29" i="3"/>
  <c r="C29" i="3"/>
  <c r="F29" i="3" s="1"/>
  <c r="E28" i="3"/>
  <c r="G28" i="3" s="1"/>
  <c r="C28" i="3"/>
  <c r="F28" i="3" s="1"/>
  <c r="E27" i="3"/>
  <c r="C27" i="3"/>
  <c r="F27" i="3" s="1"/>
  <c r="E26" i="3"/>
  <c r="G26" i="3" s="1"/>
  <c r="C26" i="3"/>
  <c r="F26" i="3" s="1"/>
  <c r="E25" i="3"/>
  <c r="C25" i="3"/>
  <c r="F25" i="3" s="1"/>
  <c r="E24" i="3"/>
  <c r="G24" i="3" s="1"/>
  <c r="C24" i="3"/>
  <c r="F24" i="3" s="1"/>
  <c r="E23" i="3"/>
  <c r="C23" i="3"/>
  <c r="F23" i="3" s="1"/>
  <c r="E22" i="3"/>
  <c r="G22" i="3" s="1"/>
  <c r="C22" i="3"/>
  <c r="F22" i="3" s="1"/>
  <c r="E21" i="3"/>
  <c r="C21" i="3"/>
  <c r="F21" i="3" s="1"/>
  <c r="E20" i="3"/>
  <c r="G20" i="3" s="1"/>
  <c r="C20" i="3"/>
  <c r="F20" i="3" s="1"/>
  <c r="E19" i="3"/>
  <c r="C19" i="3"/>
  <c r="F19" i="3" s="1"/>
  <c r="E18" i="3"/>
  <c r="G18" i="3" s="1"/>
  <c r="C18" i="3"/>
  <c r="F18" i="3" s="1"/>
  <c r="E17" i="3"/>
  <c r="C17" i="3"/>
  <c r="F17" i="3" s="1"/>
  <c r="E16" i="3"/>
  <c r="G16" i="3" s="1"/>
  <c r="C16" i="3"/>
  <c r="F16" i="3" s="1"/>
  <c r="E15" i="3"/>
  <c r="C15" i="3"/>
  <c r="F15" i="3" s="1"/>
  <c r="E14" i="3"/>
  <c r="G14" i="3" s="1"/>
  <c r="C14" i="3"/>
  <c r="F14" i="3" s="1"/>
  <c r="E13" i="3"/>
  <c r="C13" i="3"/>
  <c r="F13" i="3" s="1"/>
  <c r="E12" i="3"/>
  <c r="G12" i="3" s="1"/>
  <c r="C12" i="3"/>
  <c r="F12" i="3" s="1"/>
  <c r="E11" i="3"/>
  <c r="C11" i="3"/>
  <c r="F11" i="3" s="1"/>
  <c r="E10" i="3"/>
  <c r="G10" i="3" s="1"/>
  <c r="C10" i="3"/>
  <c r="F10" i="3" s="1"/>
  <c r="E9" i="3"/>
  <c r="C9" i="3"/>
  <c r="F9" i="3" s="1"/>
  <c r="E8" i="3"/>
  <c r="G8" i="3" s="1"/>
  <c r="C8" i="3"/>
  <c r="F8" i="3" s="1"/>
  <c r="E7" i="3"/>
  <c r="C7" i="3"/>
  <c r="F7" i="3" s="1"/>
  <c r="E6" i="3"/>
  <c r="G6" i="3" s="1"/>
  <c r="C6" i="3"/>
  <c r="F6" i="3" s="1"/>
  <c r="E5" i="3"/>
  <c r="C5" i="3"/>
  <c r="F5" i="3" s="1"/>
  <c r="E4" i="3"/>
  <c r="C4" i="3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4" i="1"/>
  <c r="E5" i="1"/>
  <c r="H5" i="1" s="1"/>
  <c r="E6" i="1"/>
  <c r="H6" i="1" s="1"/>
  <c r="E7" i="1"/>
  <c r="H7" i="1" s="1"/>
  <c r="E8" i="1"/>
  <c r="H8" i="1" s="1"/>
  <c r="E9" i="1"/>
  <c r="H9" i="1" s="1"/>
  <c r="E10" i="1"/>
  <c r="H10" i="1" s="1"/>
  <c r="E11" i="1"/>
  <c r="H11" i="1" s="1"/>
  <c r="E12" i="1"/>
  <c r="H12" i="1" s="1"/>
  <c r="E13" i="1"/>
  <c r="H13" i="1" s="1"/>
  <c r="E14" i="1"/>
  <c r="H14" i="1" s="1"/>
  <c r="E15" i="1"/>
  <c r="H15" i="1" s="1"/>
  <c r="E16" i="1"/>
  <c r="H16" i="1" s="1"/>
  <c r="E17" i="1"/>
  <c r="H17" i="1" s="1"/>
  <c r="E18" i="1"/>
  <c r="H18" i="1" s="1"/>
  <c r="E19" i="1"/>
  <c r="H19" i="1" s="1"/>
  <c r="E20" i="1"/>
  <c r="H20" i="1" s="1"/>
  <c r="E21" i="1"/>
  <c r="H21" i="1" s="1"/>
  <c r="E22" i="1"/>
  <c r="H22" i="1" s="1"/>
  <c r="E23" i="1"/>
  <c r="H23" i="1" s="1"/>
  <c r="E24" i="1"/>
  <c r="H24" i="1" s="1"/>
  <c r="E25" i="1"/>
  <c r="H25" i="1" s="1"/>
  <c r="E26" i="1"/>
  <c r="H26" i="1" s="1"/>
  <c r="E27" i="1"/>
  <c r="H27" i="1" s="1"/>
  <c r="E28" i="1"/>
  <c r="H28" i="1" s="1"/>
  <c r="E29" i="1"/>
  <c r="H29" i="1" s="1"/>
  <c r="E30" i="1"/>
  <c r="H30" i="1" s="1"/>
  <c r="E31" i="1"/>
  <c r="H31" i="1" s="1"/>
  <c r="E32" i="1"/>
  <c r="H32" i="1" s="1"/>
  <c r="E33" i="1"/>
  <c r="H33" i="1" s="1"/>
  <c r="E34" i="1"/>
  <c r="H34" i="1" s="1"/>
  <c r="E35" i="1"/>
  <c r="H35" i="1" s="1"/>
  <c r="E36" i="1"/>
  <c r="H36" i="1" s="1"/>
  <c r="E37" i="1"/>
  <c r="H37" i="1" s="1"/>
  <c r="E38" i="1"/>
  <c r="H38" i="1" s="1"/>
  <c r="E39" i="1"/>
  <c r="H39" i="1" s="1"/>
  <c r="E40" i="1"/>
  <c r="H40" i="1" s="1"/>
  <c r="E41" i="1"/>
  <c r="H41" i="1" s="1"/>
  <c r="E42" i="1"/>
  <c r="H42" i="1" s="1"/>
  <c r="E43" i="1"/>
  <c r="H43" i="1" s="1"/>
  <c r="E44" i="1"/>
  <c r="E45" i="1"/>
  <c r="H45" i="1" s="1"/>
  <c r="E46" i="1"/>
  <c r="H46" i="1" s="1"/>
  <c r="E47" i="1"/>
  <c r="H47" i="1" s="1"/>
  <c r="E48" i="1"/>
  <c r="H48" i="1" s="1"/>
  <c r="E49" i="1"/>
  <c r="H49" i="1" s="1"/>
  <c r="E50" i="1"/>
  <c r="H50" i="1" s="1"/>
  <c r="E51" i="1"/>
  <c r="H51" i="1" s="1"/>
  <c r="E52" i="1"/>
  <c r="H52" i="1" s="1"/>
  <c r="E53" i="1"/>
  <c r="H53" i="1" s="1"/>
  <c r="E4" i="1"/>
  <c r="H4" i="1" s="1"/>
  <c r="D56" i="1"/>
  <c r="D57" i="1"/>
  <c r="D55" i="1"/>
  <c r="D58" i="1"/>
  <c r="C62" i="9" l="1"/>
  <c r="B60" i="9"/>
  <c r="C61" i="9"/>
  <c r="A63" i="9"/>
  <c r="C60" i="9"/>
  <c r="A62" i="9"/>
  <c r="B63" i="9"/>
  <c r="G24" i="8"/>
  <c r="E26" i="8"/>
  <c r="G26" i="8" s="1"/>
  <c r="C26" i="8"/>
  <c r="F26" i="8" s="1"/>
  <c r="G29" i="8"/>
  <c r="G35" i="8"/>
  <c r="G40" i="8"/>
  <c r="E42" i="8"/>
  <c r="G42" i="8" s="1"/>
  <c r="C42" i="8"/>
  <c r="F42" i="8" s="1"/>
  <c r="G45" i="8"/>
  <c r="G51" i="8"/>
  <c r="B56" i="8"/>
  <c r="E22" i="8"/>
  <c r="C22" i="8"/>
  <c r="F22" i="8" s="1"/>
  <c r="B55" i="8"/>
  <c r="E55" i="8"/>
  <c r="G5" i="8"/>
  <c r="E7" i="8"/>
  <c r="C7" i="8"/>
  <c r="F7" i="8" s="1"/>
  <c r="G8" i="8"/>
  <c r="G9" i="8"/>
  <c r="E11" i="8"/>
  <c r="C11" i="8"/>
  <c r="F11" i="8" s="1"/>
  <c r="G12" i="8"/>
  <c r="G13" i="8"/>
  <c r="E15" i="8"/>
  <c r="C15" i="8"/>
  <c r="F15" i="8" s="1"/>
  <c r="G16" i="8"/>
  <c r="G17" i="8"/>
  <c r="G23" i="8"/>
  <c r="G28" i="8"/>
  <c r="E30" i="8"/>
  <c r="G30" i="8" s="1"/>
  <c r="C30" i="8"/>
  <c r="F30" i="8" s="1"/>
  <c r="G33" i="8"/>
  <c r="G39" i="8"/>
  <c r="G44" i="8"/>
  <c r="E46" i="8"/>
  <c r="C46" i="8"/>
  <c r="F46" i="8" s="1"/>
  <c r="G49" i="8"/>
  <c r="B57" i="8"/>
  <c r="E38" i="8"/>
  <c r="C38" i="8"/>
  <c r="F38" i="8" s="1"/>
  <c r="F4" i="8"/>
  <c r="G4" i="8" s="1"/>
  <c r="E18" i="8"/>
  <c r="C18" i="8"/>
  <c r="F18" i="8" s="1"/>
  <c r="G27" i="8"/>
  <c r="E34" i="8"/>
  <c r="G34" i="8" s="1"/>
  <c r="C34" i="8"/>
  <c r="F34" i="8" s="1"/>
  <c r="G48" i="8"/>
  <c r="E50" i="8"/>
  <c r="G50" i="8" s="1"/>
  <c r="C50" i="8"/>
  <c r="F50" i="8" s="1"/>
  <c r="G53" i="8"/>
  <c r="B58" i="8"/>
  <c r="C19" i="8"/>
  <c r="F19" i="8" s="1"/>
  <c r="G19" i="8" s="1"/>
  <c r="C23" i="8"/>
  <c r="F23" i="8" s="1"/>
  <c r="C27" i="8"/>
  <c r="F27" i="8" s="1"/>
  <c r="C31" i="8"/>
  <c r="F31" i="8" s="1"/>
  <c r="G31" i="8" s="1"/>
  <c r="C35" i="8"/>
  <c r="F35" i="8" s="1"/>
  <c r="C39" i="8"/>
  <c r="F39" i="8" s="1"/>
  <c r="C43" i="8"/>
  <c r="F43" i="8" s="1"/>
  <c r="G43" i="8" s="1"/>
  <c r="C47" i="8"/>
  <c r="F47" i="8" s="1"/>
  <c r="G47" i="8" s="1"/>
  <c r="C51" i="8"/>
  <c r="F51" i="8" s="1"/>
  <c r="G6" i="7"/>
  <c r="G8" i="7"/>
  <c r="G10" i="7"/>
  <c r="G12" i="7"/>
  <c r="G14" i="7"/>
  <c r="G16" i="7"/>
  <c r="G18" i="7"/>
  <c r="G20" i="7"/>
  <c r="G22" i="7"/>
  <c r="G24" i="7"/>
  <c r="G26" i="7"/>
  <c r="G28" i="7"/>
  <c r="G30" i="7"/>
  <c r="G32" i="7"/>
  <c r="G34" i="7"/>
  <c r="G36" i="7"/>
  <c r="G38" i="7"/>
  <c r="G40" i="7"/>
  <c r="G42" i="7"/>
  <c r="G44" i="7"/>
  <c r="G46" i="7"/>
  <c r="G48" i="7"/>
  <c r="G50" i="7"/>
  <c r="G52" i="7"/>
  <c r="G5" i="7"/>
  <c r="G7" i="7"/>
  <c r="G9" i="7"/>
  <c r="G11" i="7"/>
  <c r="G13" i="7"/>
  <c r="G15" i="7"/>
  <c r="G17" i="7"/>
  <c r="G19" i="7"/>
  <c r="G21" i="7"/>
  <c r="G23" i="7"/>
  <c r="G25" i="7"/>
  <c r="G27" i="7"/>
  <c r="G29" i="7"/>
  <c r="G31" i="7"/>
  <c r="G33" i="7"/>
  <c r="G35" i="7"/>
  <c r="G37" i="7"/>
  <c r="G39" i="7"/>
  <c r="G41" i="7"/>
  <c r="G43" i="7"/>
  <c r="G45" i="7"/>
  <c r="G47" i="7"/>
  <c r="G49" i="7"/>
  <c r="G51" i="7"/>
  <c r="G53" i="7"/>
  <c r="C55" i="7"/>
  <c r="C56" i="7"/>
  <c r="C57" i="7"/>
  <c r="G4" i="7"/>
  <c r="E55" i="7"/>
  <c r="E56" i="7"/>
  <c r="E57" i="7"/>
  <c r="G44" i="6"/>
  <c r="G49" i="6"/>
  <c r="G40" i="6"/>
  <c r="G45" i="6"/>
  <c r="G46" i="6"/>
  <c r="F4" i="6"/>
  <c r="G10" i="6"/>
  <c r="G14" i="6"/>
  <c r="G18" i="6"/>
  <c r="G26" i="6"/>
  <c r="G30" i="6"/>
  <c r="G34" i="6"/>
  <c r="G37" i="6"/>
  <c r="G48" i="6"/>
  <c r="G53" i="6"/>
  <c r="B56" i="6"/>
  <c r="B57" i="6"/>
  <c r="B58" i="6"/>
  <c r="C6" i="6"/>
  <c r="F6" i="6" s="1"/>
  <c r="C10" i="6"/>
  <c r="F10" i="6" s="1"/>
  <c r="C14" i="6"/>
  <c r="F14" i="6" s="1"/>
  <c r="C18" i="6"/>
  <c r="F18" i="6" s="1"/>
  <c r="C22" i="6"/>
  <c r="F22" i="6" s="1"/>
  <c r="G22" i="6" s="1"/>
  <c r="C26" i="6"/>
  <c r="F26" i="6" s="1"/>
  <c r="C30" i="6"/>
  <c r="F30" i="6" s="1"/>
  <c r="C34" i="6"/>
  <c r="F34" i="6" s="1"/>
  <c r="C38" i="6"/>
  <c r="F38" i="6" s="1"/>
  <c r="G38" i="6" s="1"/>
  <c r="C42" i="6"/>
  <c r="F42" i="6" s="1"/>
  <c r="G42" i="6" s="1"/>
  <c r="C46" i="6"/>
  <c r="F46" i="6" s="1"/>
  <c r="C50" i="6"/>
  <c r="F50" i="6" s="1"/>
  <c r="G50" i="6" s="1"/>
  <c r="G4" i="6"/>
  <c r="E6" i="6"/>
  <c r="E55" i="6"/>
  <c r="E56" i="6"/>
  <c r="E57" i="6"/>
  <c r="G28" i="5"/>
  <c r="G30" i="5"/>
  <c r="G34" i="5"/>
  <c r="G38" i="5"/>
  <c r="G52" i="5"/>
  <c r="G4" i="5"/>
  <c r="G6" i="5"/>
  <c r="G8" i="5"/>
  <c r="G10" i="5"/>
  <c r="G12" i="5"/>
  <c r="G14" i="5"/>
  <c r="G16" i="5"/>
  <c r="G18" i="5"/>
  <c r="G20" i="5"/>
  <c r="G22" i="5"/>
  <c r="G24" i="5"/>
  <c r="G26" i="5"/>
  <c r="G32" i="5"/>
  <c r="G36" i="5"/>
  <c r="G40" i="5"/>
  <c r="G42" i="5"/>
  <c r="G44" i="5"/>
  <c r="G46" i="5"/>
  <c r="G48" i="5"/>
  <c r="G5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C55" i="5"/>
  <c r="C56" i="5"/>
  <c r="C57" i="5"/>
  <c r="C58" i="5"/>
  <c r="E55" i="5"/>
  <c r="E56" i="5"/>
  <c r="E57" i="5"/>
  <c r="E58" i="5"/>
  <c r="G58" i="4"/>
  <c r="G57" i="4"/>
  <c r="G56" i="4"/>
  <c r="G55" i="4"/>
  <c r="C55" i="4"/>
  <c r="C56" i="4"/>
  <c r="C57" i="4"/>
  <c r="C58" i="4"/>
  <c r="E55" i="4"/>
  <c r="E56" i="4"/>
  <c r="E57" i="4"/>
  <c r="G5" i="3"/>
  <c r="G9" i="3"/>
  <c r="G13" i="3"/>
  <c r="G15" i="3"/>
  <c r="G19" i="3"/>
  <c r="G21" i="3"/>
  <c r="G23" i="3"/>
  <c r="G25" i="3"/>
  <c r="G27" i="3"/>
  <c r="G29" i="3"/>
  <c r="G31" i="3"/>
  <c r="G33" i="3"/>
  <c r="G37" i="3"/>
  <c r="G39" i="3"/>
  <c r="G41" i="3"/>
  <c r="G43" i="3"/>
  <c r="G45" i="3"/>
  <c r="G47" i="3"/>
  <c r="G49" i="3"/>
  <c r="G51" i="3"/>
  <c r="G53" i="3"/>
  <c r="G4" i="3"/>
  <c r="G7" i="3"/>
  <c r="G11" i="3"/>
  <c r="G17" i="3"/>
  <c r="G35" i="3"/>
  <c r="C58" i="3"/>
  <c r="C55" i="3"/>
  <c r="F4" i="3"/>
  <c r="E55" i="3"/>
  <c r="E56" i="3"/>
  <c r="E57" i="3"/>
  <c r="E58" i="3"/>
  <c r="I53" i="1"/>
  <c r="I49" i="1"/>
  <c r="I45" i="1"/>
  <c r="I41" i="1"/>
  <c r="I37" i="1"/>
  <c r="I33" i="1"/>
  <c r="I29" i="1"/>
  <c r="I25" i="1"/>
  <c r="I21" i="1"/>
  <c r="I17" i="1"/>
  <c r="I13" i="1"/>
  <c r="I9" i="1"/>
  <c r="I47" i="1"/>
  <c r="I43" i="1"/>
  <c r="I39" i="1"/>
  <c r="I35" i="1"/>
  <c r="I31" i="1"/>
  <c r="I27" i="1"/>
  <c r="I23" i="1"/>
  <c r="I19" i="1"/>
  <c r="I15" i="1"/>
  <c r="I11" i="1"/>
  <c r="I7" i="1"/>
  <c r="I52" i="1"/>
  <c r="I40" i="1"/>
  <c r="I32" i="1"/>
  <c r="I28" i="1"/>
  <c r="I20" i="1"/>
  <c r="I16" i="1"/>
  <c r="I12" i="1"/>
  <c r="I8" i="1"/>
  <c r="I4" i="1"/>
  <c r="I46" i="1"/>
  <c r="I42" i="1"/>
  <c r="I38" i="1"/>
  <c r="I26" i="1"/>
  <c r="I48" i="1"/>
  <c r="I36" i="1"/>
  <c r="I24" i="1"/>
  <c r="I22" i="1"/>
  <c r="I10" i="1"/>
  <c r="I6" i="1"/>
  <c r="I50" i="1"/>
  <c r="I34" i="1"/>
  <c r="I30" i="1"/>
  <c r="I18" i="1"/>
  <c r="I14" i="1"/>
  <c r="I5" i="1"/>
  <c r="H44" i="1"/>
  <c r="I44" i="1" s="1"/>
  <c r="G55" i="1"/>
  <c r="E57" i="1"/>
  <c r="E58" i="1"/>
  <c r="G56" i="1"/>
  <c r="E55" i="1"/>
  <c r="E56" i="1"/>
  <c r="G57" i="1"/>
  <c r="G58" i="1"/>
  <c r="G15" i="8" l="1"/>
  <c r="G11" i="8"/>
  <c r="G7" i="8"/>
  <c r="G58" i="8" s="1"/>
  <c r="E56" i="8"/>
  <c r="C57" i="8"/>
  <c r="C56" i="8"/>
  <c r="G18" i="8"/>
  <c r="G55" i="8" s="1"/>
  <c r="G38" i="8"/>
  <c r="G46" i="8"/>
  <c r="E57" i="8"/>
  <c r="G22" i="8"/>
  <c r="C58" i="8"/>
  <c r="E58" i="8"/>
  <c r="C55" i="8"/>
  <c r="G58" i="7"/>
  <c r="G57" i="7"/>
  <c r="G56" i="7"/>
  <c r="G55" i="7"/>
  <c r="C55" i="6"/>
  <c r="C56" i="6"/>
  <c r="C57" i="6"/>
  <c r="G6" i="6"/>
  <c r="G58" i="6" s="1"/>
  <c r="C58" i="6"/>
  <c r="E58" i="6"/>
  <c r="G58" i="5"/>
  <c r="G57" i="5"/>
  <c r="G56" i="5"/>
  <c r="G55" i="5"/>
  <c r="G58" i="3"/>
  <c r="G57" i="3"/>
  <c r="G56" i="3"/>
  <c r="G55" i="3"/>
  <c r="I58" i="1"/>
  <c r="I57" i="1"/>
  <c r="I56" i="1"/>
  <c r="I55" i="1"/>
  <c r="G56" i="8" l="1"/>
  <c r="G57" i="8"/>
  <c r="G56" i="6"/>
  <c r="G57" i="6"/>
  <c r="G55" i="6"/>
</calcChain>
</file>

<file path=xl/sharedStrings.xml><?xml version="1.0" encoding="utf-8"?>
<sst xmlns="http://schemas.openxmlformats.org/spreadsheetml/2006/main" count="446" uniqueCount="132">
  <si>
    <t>Employee ID</t>
  </si>
  <si>
    <t>Date</t>
  </si>
  <si>
    <t>Hours  Worked</t>
  </si>
  <si>
    <t>Employee name</t>
  </si>
  <si>
    <t xml:space="preserve">Earl </t>
  </si>
  <si>
    <t xml:space="preserve">Reymark </t>
  </si>
  <si>
    <t>Arnold</t>
  </si>
  <si>
    <t>Renz</t>
  </si>
  <si>
    <t>Raphael</t>
  </si>
  <si>
    <t>Lucilfer</t>
  </si>
  <si>
    <t>Yuji</t>
  </si>
  <si>
    <t>Gojo</t>
  </si>
  <si>
    <t>Jogo</t>
  </si>
  <si>
    <t>Itadori</t>
  </si>
  <si>
    <t>Nobara</t>
  </si>
  <si>
    <t>Kugisaki</t>
  </si>
  <si>
    <t>Fushiguro</t>
  </si>
  <si>
    <t>Megumi</t>
  </si>
  <si>
    <t>Toji</t>
  </si>
  <si>
    <t xml:space="preserve">Yuta </t>
  </si>
  <si>
    <t>Todo</t>
  </si>
  <si>
    <t>Sukuna</t>
  </si>
  <si>
    <t>TDO1268</t>
  </si>
  <si>
    <t>TDO1269</t>
  </si>
  <si>
    <t>TDO1270</t>
  </si>
  <si>
    <t>TDO1271</t>
  </si>
  <si>
    <t>TDO1272</t>
  </si>
  <si>
    <t>TDO1273</t>
  </si>
  <si>
    <t>TDO1274</t>
  </si>
  <si>
    <t>TDO1275</t>
  </si>
  <si>
    <t>TDO1276</t>
  </si>
  <si>
    <t>TDO1277</t>
  </si>
  <si>
    <t>TDO1278</t>
  </si>
  <si>
    <t>TDO1279</t>
  </si>
  <si>
    <t>TDO1280</t>
  </si>
  <si>
    <t>TDO1281</t>
  </si>
  <si>
    <t>TDO1282</t>
  </si>
  <si>
    <t>TDO1283</t>
  </si>
  <si>
    <t>TDO1284</t>
  </si>
  <si>
    <t>TDO1285</t>
  </si>
  <si>
    <t>TDO1286</t>
  </si>
  <si>
    <t>TDO1287</t>
  </si>
  <si>
    <t>TDO1288</t>
  </si>
  <si>
    <t>TDO1289</t>
  </si>
  <si>
    <t>TDO1290</t>
  </si>
  <si>
    <t>TDO1291</t>
  </si>
  <si>
    <t>TDO1292</t>
  </si>
  <si>
    <t>TDO1293</t>
  </si>
  <si>
    <t>TDO1294</t>
  </si>
  <si>
    <t>TDO1295</t>
  </si>
  <si>
    <t>TDO1296</t>
  </si>
  <si>
    <t>TDO1297</t>
  </si>
  <si>
    <t>TDO1298</t>
  </si>
  <si>
    <t>TDO1299</t>
  </si>
  <si>
    <t>TDO1300</t>
  </si>
  <si>
    <t>TDO1301</t>
  </si>
  <si>
    <t>TDO1302</t>
  </si>
  <si>
    <t>TDO1303</t>
  </si>
  <si>
    <t>TDO1304</t>
  </si>
  <si>
    <t>TDO1305</t>
  </si>
  <si>
    <t>TDO1306</t>
  </si>
  <si>
    <t>TDO1307</t>
  </si>
  <si>
    <t>TDO1308</t>
  </si>
  <si>
    <t>TDO1309</t>
  </si>
  <si>
    <t>TDO1310</t>
  </si>
  <si>
    <t>TDO1311</t>
  </si>
  <si>
    <t>TDO1312</t>
  </si>
  <si>
    <t>TDO1313</t>
  </si>
  <si>
    <t>TDO1314</t>
  </si>
  <si>
    <t>TDO1315</t>
  </si>
  <si>
    <t>TDO1316</t>
  </si>
  <si>
    <t>TDO1317</t>
  </si>
  <si>
    <t>Attendance sheet</t>
  </si>
  <si>
    <t>1st day</t>
  </si>
  <si>
    <t>Pay</t>
  </si>
  <si>
    <t>Fix hourly wage</t>
  </si>
  <si>
    <t>2nd day</t>
  </si>
  <si>
    <t>3rd day</t>
  </si>
  <si>
    <t>4th day</t>
  </si>
  <si>
    <t>5th to 15th day</t>
  </si>
  <si>
    <t>05-15/1/2023</t>
  </si>
  <si>
    <t>15-17/1/2023</t>
  </si>
  <si>
    <t>16th to 17th day</t>
  </si>
  <si>
    <t>18th to 22th day</t>
  </si>
  <si>
    <t>18-22/01/2023</t>
  </si>
  <si>
    <t>Total hours work per employee</t>
  </si>
  <si>
    <t>Total overtime of each employees</t>
  </si>
  <si>
    <t>1 month salary</t>
  </si>
  <si>
    <t>Maximum</t>
  </si>
  <si>
    <t>Minimum</t>
  </si>
  <si>
    <t>Total</t>
  </si>
  <si>
    <t>Average</t>
  </si>
  <si>
    <t>Overtime pay + pay</t>
  </si>
  <si>
    <t>Overtime (in hours)</t>
  </si>
  <si>
    <t>Overtime Pay</t>
  </si>
  <si>
    <t>Knay</t>
  </si>
  <si>
    <t>Kely</t>
  </si>
  <si>
    <t>Lodi</t>
  </si>
  <si>
    <t>Cakes</t>
  </si>
  <si>
    <t>Petmalu</t>
  </si>
  <si>
    <t>Char</t>
  </si>
  <si>
    <t>Panda</t>
  </si>
  <si>
    <t>Gad</t>
  </si>
  <si>
    <t>Blipi</t>
  </si>
  <si>
    <t>Kart</t>
  </si>
  <si>
    <t>Ely</t>
  </si>
  <si>
    <t>Adlos</t>
  </si>
  <si>
    <t>Necky</t>
  </si>
  <si>
    <t>Nemes</t>
  </si>
  <si>
    <t>Nokar</t>
  </si>
  <si>
    <t>Hyokik</t>
  </si>
  <si>
    <t>Iguro</t>
  </si>
  <si>
    <t>Sanemi</t>
  </si>
  <si>
    <t>Gyomei</t>
  </si>
  <si>
    <t>Tokito</t>
  </si>
  <si>
    <t>Kanroji</t>
  </si>
  <si>
    <t>Muichiro</t>
  </si>
  <si>
    <t>Hashira</t>
  </si>
  <si>
    <t>Muzan</t>
  </si>
  <si>
    <t>Kibutsuji</t>
  </si>
  <si>
    <t>Aoi</t>
  </si>
  <si>
    <t>Makman</t>
  </si>
  <si>
    <t>Yin</t>
  </si>
  <si>
    <t>Karina</t>
  </si>
  <si>
    <t>Alucard</t>
  </si>
  <si>
    <t>Miya</t>
  </si>
  <si>
    <t>Hakari</t>
  </si>
  <si>
    <t>Grand Total</t>
  </si>
  <si>
    <t>Sum of 1 month salary</t>
  </si>
  <si>
    <t>Row Labels</t>
  </si>
  <si>
    <t>Sum of Total hours work per employee</t>
  </si>
  <si>
    <t>Sum of Total overtime of each 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</si>
</sst>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₱&quot;* #,##0.00_-;\-&quot;₱&quot;* #,##0.00_-;_-&quot;₱&quot;* &quot;-&quot;??_-;_-@_-"/>
    <numFmt numFmtId="43" formatCode="_-* #,##0.00_-;\-* #,##0.00_-;_-* &quot;-&quot;??_-;_-@_-"/>
    <numFmt numFmtId="164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43" fontId="0" fillId="0" borderId="0" xfId="1" applyFont="1"/>
    <xf numFmtId="43" fontId="0" fillId="0" borderId="0" xfId="0" applyNumberFormat="1"/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10" borderId="0" xfId="0" applyFill="1" applyAlignment="1">
      <alignment wrapText="1"/>
    </xf>
    <xf numFmtId="0" fontId="0" fillId="11" borderId="0" xfId="0" applyFill="1" applyAlignment="1">
      <alignment wrapText="1"/>
    </xf>
    <xf numFmtId="0" fontId="0" fillId="12" borderId="0" xfId="0" applyFill="1" applyAlignment="1">
      <alignment wrapText="1"/>
    </xf>
    <xf numFmtId="164" fontId="0" fillId="0" borderId="0" xfId="2" applyNumberFormat="1" applyFont="1"/>
    <xf numFmtId="0" fontId="3" fillId="0" borderId="0" xfId="3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Tota</a:t>
            </a:r>
            <a:r>
              <a:rPr lang="en-PH" baseline="0"/>
              <a:t>l salary of each employees</a:t>
            </a: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'1st day'!$A$4:$A$53</c:f>
              <c:strCache>
                <c:ptCount val="50"/>
                <c:pt idx="0">
                  <c:v>Earl </c:v>
                </c:pt>
                <c:pt idx="1">
                  <c:v>Reymark </c:v>
                </c:pt>
                <c:pt idx="2">
                  <c:v>Knay</c:v>
                </c:pt>
                <c:pt idx="3">
                  <c:v>Kely</c:v>
                </c:pt>
                <c:pt idx="4">
                  <c:v>Lodi</c:v>
                </c:pt>
                <c:pt idx="5">
                  <c:v>Cakes</c:v>
                </c:pt>
                <c:pt idx="6">
                  <c:v>Petmalu</c:v>
                </c:pt>
                <c:pt idx="7">
                  <c:v>Char</c:v>
                </c:pt>
                <c:pt idx="8">
                  <c:v>Arnold</c:v>
                </c:pt>
                <c:pt idx="9">
                  <c:v>Renz</c:v>
                </c:pt>
                <c:pt idx="10">
                  <c:v>Panda</c:v>
                </c:pt>
                <c:pt idx="11">
                  <c:v>Gad</c:v>
                </c:pt>
                <c:pt idx="12">
                  <c:v>Raphael</c:v>
                </c:pt>
                <c:pt idx="13">
                  <c:v>Blipi</c:v>
                </c:pt>
                <c:pt idx="14">
                  <c:v>Kart</c:v>
                </c:pt>
                <c:pt idx="15">
                  <c:v>Ely</c:v>
                </c:pt>
                <c:pt idx="16">
                  <c:v>Adlos</c:v>
                </c:pt>
                <c:pt idx="17">
                  <c:v>Necky</c:v>
                </c:pt>
                <c:pt idx="18">
                  <c:v>Nemes</c:v>
                </c:pt>
                <c:pt idx="19">
                  <c:v>Nokar</c:v>
                </c:pt>
                <c:pt idx="20">
                  <c:v>Hyokik</c:v>
                </c:pt>
                <c:pt idx="21">
                  <c:v>Iguro</c:v>
                </c:pt>
                <c:pt idx="22">
                  <c:v>Sanemi</c:v>
                </c:pt>
                <c:pt idx="23">
                  <c:v>Gyomei</c:v>
                </c:pt>
                <c:pt idx="24">
                  <c:v>Tokito</c:v>
                </c:pt>
                <c:pt idx="25">
                  <c:v>Kanroji</c:v>
                </c:pt>
                <c:pt idx="26">
                  <c:v>Muichiro</c:v>
                </c:pt>
                <c:pt idx="27">
                  <c:v>Hashira</c:v>
                </c:pt>
                <c:pt idx="28">
                  <c:v>Muzan</c:v>
                </c:pt>
                <c:pt idx="29">
                  <c:v>Kibutsuji</c:v>
                </c:pt>
                <c:pt idx="30">
                  <c:v>Aoi</c:v>
                </c:pt>
                <c:pt idx="31">
                  <c:v>Makman</c:v>
                </c:pt>
                <c:pt idx="32">
                  <c:v>Yin</c:v>
                </c:pt>
                <c:pt idx="33">
                  <c:v>Karina</c:v>
                </c:pt>
                <c:pt idx="34">
                  <c:v>Alucard</c:v>
                </c:pt>
                <c:pt idx="35">
                  <c:v>Miya</c:v>
                </c:pt>
                <c:pt idx="36">
                  <c:v>Lucilfer</c:v>
                </c:pt>
                <c:pt idx="37">
                  <c:v>Yuji</c:v>
                </c:pt>
                <c:pt idx="38">
                  <c:v>Gojo</c:v>
                </c:pt>
                <c:pt idx="39">
                  <c:v>Jogo</c:v>
                </c:pt>
                <c:pt idx="40">
                  <c:v>Itadori</c:v>
                </c:pt>
                <c:pt idx="41">
                  <c:v>Nobara</c:v>
                </c:pt>
                <c:pt idx="42">
                  <c:v>Kugisaki</c:v>
                </c:pt>
                <c:pt idx="43">
                  <c:v>Fushiguro</c:v>
                </c:pt>
                <c:pt idx="44">
                  <c:v>Megumi</c:v>
                </c:pt>
                <c:pt idx="45">
                  <c:v>Toji</c:v>
                </c:pt>
                <c:pt idx="46">
                  <c:v>Yuta </c:v>
                </c:pt>
                <c:pt idx="47">
                  <c:v>Todo</c:v>
                </c:pt>
                <c:pt idx="48">
                  <c:v>Sukuna</c:v>
                </c:pt>
                <c:pt idx="49">
                  <c:v>Hakari</c:v>
                </c:pt>
              </c:strCache>
            </c:strRef>
          </c:cat>
          <c:val>
            <c:numRef>
              <c:f>'Summary month'!$C$4:$C$53</c:f>
              <c:numCache>
                <c:formatCode>_-[$$-409]* #,##0.00_ ;_-[$$-409]* \-#,##0.00\ ;_-[$$-409]* "-"??_ ;_-@_ </c:formatCode>
                <c:ptCount val="50"/>
                <c:pt idx="0">
                  <c:v>2085</c:v>
                </c:pt>
                <c:pt idx="1">
                  <c:v>1885</c:v>
                </c:pt>
                <c:pt idx="2">
                  <c:v>1815</c:v>
                </c:pt>
                <c:pt idx="3">
                  <c:v>1935</c:v>
                </c:pt>
                <c:pt idx="4">
                  <c:v>1935</c:v>
                </c:pt>
                <c:pt idx="5">
                  <c:v>1985</c:v>
                </c:pt>
                <c:pt idx="6">
                  <c:v>1885</c:v>
                </c:pt>
                <c:pt idx="7">
                  <c:v>1885</c:v>
                </c:pt>
                <c:pt idx="8">
                  <c:v>1885</c:v>
                </c:pt>
                <c:pt idx="9">
                  <c:v>1885</c:v>
                </c:pt>
                <c:pt idx="10">
                  <c:v>1895</c:v>
                </c:pt>
                <c:pt idx="11">
                  <c:v>1845</c:v>
                </c:pt>
                <c:pt idx="12">
                  <c:v>1845</c:v>
                </c:pt>
                <c:pt idx="13">
                  <c:v>1895</c:v>
                </c:pt>
                <c:pt idx="14">
                  <c:v>1895</c:v>
                </c:pt>
                <c:pt idx="15">
                  <c:v>1770</c:v>
                </c:pt>
                <c:pt idx="16">
                  <c:v>1710</c:v>
                </c:pt>
                <c:pt idx="17">
                  <c:v>1710</c:v>
                </c:pt>
                <c:pt idx="18">
                  <c:v>1710</c:v>
                </c:pt>
                <c:pt idx="19">
                  <c:v>1745</c:v>
                </c:pt>
                <c:pt idx="20">
                  <c:v>1745</c:v>
                </c:pt>
                <c:pt idx="21">
                  <c:v>1745</c:v>
                </c:pt>
                <c:pt idx="22">
                  <c:v>1805</c:v>
                </c:pt>
                <c:pt idx="23">
                  <c:v>1805</c:v>
                </c:pt>
                <c:pt idx="24">
                  <c:v>1805</c:v>
                </c:pt>
                <c:pt idx="25">
                  <c:v>1785</c:v>
                </c:pt>
                <c:pt idx="26">
                  <c:v>1735</c:v>
                </c:pt>
                <c:pt idx="27">
                  <c:v>1735</c:v>
                </c:pt>
                <c:pt idx="28">
                  <c:v>1735</c:v>
                </c:pt>
                <c:pt idx="29">
                  <c:v>1735</c:v>
                </c:pt>
                <c:pt idx="30">
                  <c:v>1710</c:v>
                </c:pt>
                <c:pt idx="31">
                  <c:v>1710</c:v>
                </c:pt>
                <c:pt idx="32">
                  <c:v>1710</c:v>
                </c:pt>
                <c:pt idx="33">
                  <c:v>1660</c:v>
                </c:pt>
                <c:pt idx="34">
                  <c:v>1660</c:v>
                </c:pt>
                <c:pt idx="35">
                  <c:v>1660</c:v>
                </c:pt>
                <c:pt idx="36">
                  <c:v>1665</c:v>
                </c:pt>
                <c:pt idx="37">
                  <c:v>1665</c:v>
                </c:pt>
                <c:pt idx="38">
                  <c:v>1665</c:v>
                </c:pt>
                <c:pt idx="39">
                  <c:v>1585</c:v>
                </c:pt>
                <c:pt idx="40">
                  <c:v>1585</c:v>
                </c:pt>
                <c:pt idx="41">
                  <c:v>1585</c:v>
                </c:pt>
                <c:pt idx="42">
                  <c:v>1610</c:v>
                </c:pt>
                <c:pt idx="43">
                  <c:v>1630</c:v>
                </c:pt>
                <c:pt idx="44">
                  <c:v>1630</c:v>
                </c:pt>
                <c:pt idx="45">
                  <c:v>1530</c:v>
                </c:pt>
                <c:pt idx="46">
                  <c:v>1530</c:v>
                </c:pt>
                <c:pt idx="47">
                  <c:v>1415</c:v>
                </c:pt>
                <c:pt idx="48">
                  <c:v>1495</c:v>
                </c:pt>
                <c:pt idx="49">
                  <c:v>1495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4DE-4508-9674-F855A89CD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738710879"/>
        <c:axId val="738711359"/>
        <c:axId val="0"/>
      </c:bar3DChart>
      <c:catAx>
        <c:axId val="738710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11359"/>
        <c:crosses val="autoZero"/>
        <c:auto val="1"/>
        <c:lblAlgn val="ctr"/>
        <c:lblOffset val="100"/>
        <c:noMultiLvlLbl val="0"/>
      </c:catAx>
      <c:valAx>
        <c:axId val="73871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10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[Salary and payroll of employees practice.xlsm]Summary month!PivotTable1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'Summary month'!$I$3</c:f>
              <c:strCache>
                <c:ptCount val="1"/>
                <c:pt idx="0">
                  <c:v>Sum of Total overtime of each employees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'Summary month'!$H$4:$H$54</c:f>
              <c:strCache>
                <c:ptCount val="50"/>
                <c:pt idx="0">
                  <c:v>Earl </c:v>
                </c:pt>
                <c:pt idx="1">
                  <c:v>Cakes</c:v>
                </c:pt>
                <c:pt idx="2">
                  <c:v>Kely</c:v>
                </c:pt>
                <c:pt idx="3">
                  <c:v>Lodi</c:v>
                </c:pt>
                <c:pt idx="4">
                  <c:v>Panda</c:v>
                </c:pt>
                <c:pt idx="5">
                  <c:v>Blipi</c:v>
                </c:pt>
                <c:pt idx="6">
                  <c:v>Kart</c:v>
                </c:pt>
                <c:pt idx="7">
                  <c:v>Char</c:v>
                </c:pt>
                <c:pt idx="8">
                  <c:v>Reymark </c:v>
                </c:pt>
                <c:pt idx="9">
                  <c:v>Arnold</c:v>
                </c:pt>
                <c:pt idx="10">
                  <c:v>Petmalu</c:v>
                </c:pt>
                <c:pt idx="11">
                  <c:v>Renz</c:v>
                </c:pt>
                <c:pt idx="12">
                  <c:v>Gad</c:v>
                </c:pt>
                <c:pt idx="13">
                  <c:v>Raphael</c:v>
                </c:pt>
                <c:pt idx="14">
                  <c:v>Knay</c:v>
                </c:pt>
                <c:pt idx="15">
                  <c:v>Gyomei</c:v>
                </c:pt>
                <c:pt idx="16">
                  <c:v>Sanemi</c:v>
                </c:pt>
                <c:pt idx="17">
                  <c:v>Tokito</c:v>
                </c:pt>
                <c:pt idx="18">
                  <c:v>Kanroji</c:v>
                </c:pt>
                <c:pt idx="19">
                  <c:v>Ely</c:v>
                </c:pt>
                <c:pt idx="20">
                  <c:v>Iguro</c:v>
                </c:pt>
                <c:pt idx="21">
                  <c:v>Nokar</c:v>
                </c:pt>
                <c:pt idx="22">
                  <c:v>Hyokik</c:v>
                </c:pt>
                <c:pt idx="23">
                  <c:v>Kibutsuji</c:v>
                </c:pt>
                <c:pt idx="24">
                  <c:v>Muzan</c:v>
                </c:pt>
                <c:pt idx="25">
                  <c:v>Hashira</c:v>
                </c:pt>
                <c:pt idx="26">
                  <c:v>Muichiro</c:v>
                </c:pt>
                <c:pt idx="27">
                  <c:v>Nemes</c:v>
                </c:pt>
                <c:pt idx="28">
                  <c:v>Yin</c:v>
                </c:pt>
                <c:pt idx="29">
                  <c:v>Necky</c:v>
                </c:pt>
                <c:pt idx="30">
                  <c:v>Makman</c:v>
                </c:pt>
                <c:pt idx="31">
                  <c:v>Adlos</c:v>
                </c:pt>
                <c:pt idx="32">
                  <c:v>Aoi</c:v>
                </c:pt>
                <c:pt idx="33">
                  <c:v>Lucilfer</c:v>
                </c:pt>
                <c:pt idx="34">
                  <c:v>Gojo</c:v>
                </c:pt>
                <c:pt idx="35">
                  <c:v>Yuji</c:v>
                </c:pt>
                <c:pt idx="36">
                  <c:v>Alucard</c:v>
                </c:pt>
                <c:pt idx="37">
                  <c:v>Miya</c:v>
                </c:pt>
                <c:pt idx="38">
                  <c:v>Karina</c:v>
                </c:pt>
                <c:pt idx="39">
                  <c:v>Fushiguro</c:v>
                </c:pt>
                <c:pt idx="40">
                  <c:v>Megumi</c:v>
                </c:pt>
                <c:pt idx="41">
                  <c:v>Kugisaki</c:v>
                </c:pt>
                <c:pt idx="42">
                  <c:v>Jogo</c:v>
                </c:pt>
                <c:pt idx="43">
                  <c:v>Itadori</c:v>
                </c:pt>
                <c:pt idx="44">
                  <c:v>Nobara</c:v>
                </c:pt>
                <c:pt idx="45">
                  <c:v>Toji</c:v>
                </c:pt>
                <c:pt idx="46">
                  <c:v>Yuta </c:v>
                </c:pt>
                <c:pt idx="47">
                  <c:v>Hakari</c:v>
                </c:pt>
                <c:pt idx="48">
                  <c:v>Sukuna</c:v>
                </c:pt>
                <c:pt idx="49">
                  <c:v>Todo</c:v>
                </c:pt>
              </c:strCache>
            </c:strRef>
          </c:cat>
          <c:val>
            <c:numRef>
              <c:f>'Summary month'!$I$4:$I$54</c:f>
              <c:numCache>
                <c:formatCode>General</c:formatCode>
                <c:ptCount val="50"/>
                <c:pt idx="0">
                  <c:v>17</c:v>
                </c:pt>
                <c:pt idx="1">
                  <c:v>13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46-48B9-B435-09068D0105E2}"/>
            </c:ext>
          </c:extLst>
        </c:ser>
        <c:ser>
          <c:idx val="1"/>
          <c:order val="1"/>
          <c:tx>
            <c:strRef>
              <c:f>'Summary month'!$J$3</c:f>
              <c:strCache>
                <c:ptCount val="1"/>
                <c:pt idx="0">
                  <c:v>Sum of Total hours work per employee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'Summary month'!$H$4:$H$54</c:f>
              <c:strCache>
                <c:ptCount val="50"/>
                <c:pt idx="0">
                  <c:v>Earl </c:v>
                </c:pt>
                <c:pt idx="1">
                  <c:v>Cakes</c:v>
                </c:pt>
                <c:pt idx="2">
                  <c:v>Kely</c:v>
                </c:pt>
                <c:pt idx="3">
                  <c:v>Lodi</c:v>
                </c:pt>
                <c:pt idx="4">
                  <c:v>Panda</c:v>
                </c:pt>
                <c:pt idx="5">
                  <c:v>Blipi</c:v>
                </c:pt>
                <c:pt idx="6">
                  <c:v>Kart</c:v>
                </c:pt>
                <c:pt idx="7">
                  <c:v>Char</c:v>
                </c:pt>
                <c:pt idx="8">
                  <c:v>Reymark </c:v>
                </c:pt>
                <c:pt idx="9">
                  <c:v>Arnold</c:v>
                </c:pt>
                <c:pt idx="10">
                  <c:v>Petmalu</c:v>
                </c:pt>
                <c:pt idx="11">
                  <c:v>Renz</c:v>
                </c:pt>
                <c:pt idx="12">
                  <c:v>Gad</c:v>
                </c:pt>
                <c:pt idx="13">
                  <c:v>Raphael</c:v>
                </c:pt>
                <c:pt idx="14">
                  <c:v>Knay</c:v>
                </c:pt>
                <c:pt idx="15">
                  <c:v>Gyomei</c:v>
                </c:pt>
                <c:pt idx="16">
                  <c:v>Sanemi</c:v>
                </c:pt>
                <c:pt idx="17">
                  <c:v>Tokito</c:v>
                </c:pt>
                <c:pt idx="18">
                  <c:v>Kanroji</c:v>
                </c:pt>
                <c:pt idx="19">
                  <c:v>Ely</c:v>
                </c:pt>
                <c:pt idx="20">
                  <c:v>Iguro</c:v>
                </c:pt>
                <c:pt idx="21">
                  <c:v>Nokar</c:v>
                </c:pt>
                <c:pt idx="22">
                  <c:v>Hyokik</c:v>
                </c:pt>
                <c:pt idx="23">
                  <c:v>Kibutsuji</c:v>
                </c:pt>
                <c:pt idx="24">
                  <c:v>Muzan</c:v>
                </c:pt>
                <c:pt idx="25">
                  <c:v>Hashira</c:v>
                </c:pt>
                <c:pt idx="26">
                  <c:v>Muichiro</c:v>
                </c:pt>
                <c:pt idx="27">
                  <c:v>Nemes</c:v>
                </c:pt>
                <c:pt idx="28">
                  <c:v>Yin</c:v>
                </c:pt>
                <c:pt idx="29">
                  <c:v>Necky</c:v>
                </c:pt>
                <c:pt idx="30">
                  <c:v>Makman</c:v>
                </c:pt>
                <c:pt idx="31">
                  <c:v>Adlos</c:v>
                </c:pt>
                <c:pt idx="32">
                  <c:v>Aoi</c:v>
                </c:pt>
                <c:pt idx="33">
                  <c:v>Lucilfer</c:v>
                </c:pt>
                <c:pt idx="34">
                  <c:v>Gojo</c:v>
                </c:pt>
                <c:pt idx="35">
                  <c:v>Yuji</c:v>
                </c:pt>
                <c:pt idx="36">
                  <c:v>Alucard</c:v>
                </c:pt>
                <c:pt idx="37">
                  <c:v>Miya</c:v>
                </c:pt>
                <c:pt idx="38">
                  <c:v>Karina</c:v>
                </c:pt>
                <c:pt idx="39">
                  <c:v>Fushiguro</c:v>
                </c:pt>
                <c:pt idx="40">
                  <c:v>Megumi</c:v>
                </c:pt>
                <c:pt idx="41">
                  <c:v>Kugisaki</c:v>
                </c:pt>
                <c:pt idx="42">
                  <c:v>Jogo</c:v>
                </c:pt>
                <c:pt idx="43">
                  <c:v>Itadori</c:v>
                </c:pt>
                <c:pt idx="44">
                  <c:v>Nobara</c:v>
                </c:pt>
                <c:pt idx="45">
                  <c:v>Toji</c:v>
                </c:pt>
                <c:pt idx="46">
                  <c:v>Yuta </c:v>
                </c:pt>
                <c:pt idx="47">
                  <c:v>Hakari</c:v>
                </c:pt>
                <c:pt idx="48">
                  <c:v>Sukuna</c:v>
                </c:pt>
                <c:pt idx="49">
                  <c:v>Todo</c:v>
                </c:pt>
              </c:strCache>
            </c:strRef>
          </c:cat>
          <c:val>
            <c:numRef>
              <c:f>'Summary month'!$J$4:$J$54</c:f>
              <c:numCache>
                <c:formatCode>General</c:formatCode>
                <c:ptCount val="50"/>
                <c:pt idx="0">
                  <c:v>183</c:v>
                </c:pt>
                <c:pt idx="1">
                  <c:v>179</c:v>
                </c:pt>
                <c:pt idx="2">
                  <c:v>177</c:v>
                </c:pt>
                <c:pt idx="3">
                  <c:v>177</c:v>
                </c:pt>
                <c:pt idx="4">
                  <c:v>176</c:v>
                </c:pt>
                <c:pt idx="5">
                  <c:v>176</c:v>
                </c:pt>
                <c:pt idx="6">
                  <c:v>176</c:v>
                </c:pt>
                <c:pt idx="7">
                  <c:v>175</c:v>
                </c:pt>
                <c:pt idx="8">
                  <c:v>175</c:v>
                </c:pt>
                <c:pt idx="9">
                  <c:v>175</c:v>
                </c:pt>
                <c:pt idx="10">
                  <c:v>175</c:v>
                </c:pt>
                <c:pt idx="11">
                  <c:v>175</c:v>
                </c:pt>
                <c:pt idx="12">
                  <c:v>174</c:v>
                </c:pt>
                <c:pt idx="13">
                  <c:v>174</c:v>
                </c:pt>
                <c:pt idx="14">
                  <c:v>171</c:v>
                </c:pt>
                <c:pt idx="15">
                  <c:v>173</c:v>
                </c:pt>
                <c:pt idx="16">
                  <c:v>173</c:v>
                </c:pt>
                <c:pt idx="17">
                  <c:v>173</c:v>
                </c:pt>
                <c:pt idx="18">
                  <c:v>171</c:v>
                </c:pt>
                <c:pt idx="19">
                  <c:v>171</c:v>
                </c:pt>
                <c:pt idx="20">
                  <c:v>170</c:v>
                </c:pt>
                <c:pt idx="21">
                  <c:v>170</c:v>
                </c:pt>
                <c:pt idx="22">
                  <c:v>170</c:v>
                </c:pt>
                <c:pt idx="23">
                  <c:v>169</c:v>
                </c:pt>
                <c:pt idx="24">
                  <c:v>169</c:v>
                </c:pt>
                <c:pt idx="25">
                  <c:v>169</c:v>
                </c:pt>
                <c:pt idx="26">
                  <c:v>169</c:v>
                </c:pt>
                <c:pt idx="27">
                  <c:v>168</c:v>
                </c:pt>
                <c:pt idx="28">
                  <c:v>168</c:v>
                </c:pt>
                <c:pt idx="29">
                  <c:v>168</c:v>
                </c:pt>
                <c:pt idx="30">
                  <c:v>168</c:v>
                </c:pt>
                <c:pt idx="31">
                  <c:v>168</c:v>
                </c:pt>
                <c:pt idx="32">
                  <c:v>168</c:v>
                </c:pt>
                <c:pt idx="33">
                  <c:v>162</c:v>
                </c:pt>
                <c:pt idx="34">
                  <c:v>162</c:v>
                </c:pt>
                <c:pt idx="35">
                  <c:v>162</c:v>
                </c:pt>
                <c:pt idx="36">
                  <c:v>163</c:v>
                </c:pt>
                <c:pt idx="37">
                  <c:v>163</c:v>
                </c:pt>
                <c:pt idx="38">
                  <c:v>163</c:v>
                </c:pt>
                <c:pt idx="39">
                  <c:v>160</c:v>
                </c:pt>
                <c:pt idx="40">
                  <c:v>160</c:v>
                </c:pt>
                <c:pt idx="41">
                  <c:v>158</c:v>
                </c:pt>
                <c:pt idx="42">
                  <c:v>157</c:v>
                </c:pt>
                <c:pt idx="43">
                  <c:v>157</c:v>
                </c:pt>
                <c:pt idx="44">
                  <c:v>157</c:v>
                </c:pt>
                <c:pt idx="45">
                  <c:v>150</c:v>
                </c:pt>
                <c:pt idx="46">
                  <c:v>150</c:v>
                </c:pt>
                <c:pt idx="47">
                  <c:v>148</c:v>
                </c:pt>
                <c:pt idx="48">
                  <c:v>148</c:v>
                </c:pt>
                <c:pt idx="49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46-48B9-B435-09068D0105E2}"/>
            </c:ext>
          </c:extLst>
        </c:ser>
        <c:ser>
          <c:idx val="2"/>
          <c:order val="2"/>
          <c:tx>
            <c:strRef>
              <c:f>'Summary month'!$K$3</c:f>
              <c:strCache>
                <c:ptCount val="1"/>
                <c:pt idx="0">
                  <c:v>Sum of 1 month salary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  <a:sp3d/>
          </c:spPr>
          <c:invertIfNegative val="0"/>
          <c:cat>
            <c:strRef>
              <c:f>'Summary month'!$H$4:$H$54</c:f>
              <c:strCache>
                <c:ptCount val="50"/>
                <c:pt idx="0">
                  <c:v>Earl </c:v>
                </c:pt>
                <c:pt idx="1">
                  <c:v>Cakes</c:v>
                </c:pt>
                <c:pt idx="2">
                  <c:v>Kely</c:v>
                </c:pt>
                <c:pt idx="3">
                  <c:v>Lodi</c:v>
                </c:pt>
                <c:pt idx="4">
                  <c:v>Panda</c:v>
                </c:pt>
                <c:pt idx="5">
                  <c:v>Blipi</c:v>
                </c:pt>
                <c:pt idx="6">
                  <c:v>Kart</c:v>
                </c:pt>
                <c:pt idx="7">
                  <c:v>Char</c:v>
                </c:pt>
                <c:pt idx="8">
                  <c:v>Reymark </c:v>
                </c:pt>
                <c:pt idx="9">
                  <c:v>Arnold</c:v>
                </c:pt>
                <c:pt idx="10">
                  <c:v>Petmalu</c:v>
                </c:pt>
                <c:pt idx="11">
                  <c:v>Renz</c:v>
                </c:pt>
                <c:pt idx="12">
                  <c:v>Gad</c:v>
                </c:pt>
                <c:pt idx="13">
                  <c:v>Raphael</c:v>
                </c:pt>
                <c:pt idx="14">
                  <c:v>Knay</c:v>
                </c:pt>
                <c:pt idx="15">
                  <c:v>Gyomei</c:v>
                </c:pt>
                <c:pt idx="16">
                  <c:v>Sanemi</c:v>
                </c:pt>
                <c:pt idx="17">
                  <c:v>Tokito</c:v>
                </c:pt>
                <c:pt idx="18">
                  <c:v>Kanroji</c:v>
                </c:pt>
                <c:pt idx="19">
                  <c:v>Ely</c:v>
                </c:pt>
                <c:pt idx="20">
                  <c:v>Iguro</c:v>
                </c:pt>
                <c:pt idx="21">
                  <c:v>Nokar</c:v>
                </c:pt>
                <c:pt idx="22">
                  <c:v>Hyokik</c:v>
                </c:pt>
                <c:pt idx="23">
                  <c:v>Kibutsuji</c:v>
                </c:pt>
                <c:pt idx="24">
                  <c:v>Muzan</c:v>
                </c:pt>
                <c:pt idx="25">
                  <c:v>Hashira</c:v>
                </c:pt>
                <c:pt idx="26">
                  <c:v>Muichiro</c:v>
                </c:pt>
                <c:pt idx="27">
                  <c:v>Nemes</c:v>
                </c:pt>
                <c:pt idx="28">
                  <c:v>Yin</c:v>
                </c:pt>
                <c:pt idx="29">
                  <c:v>Necky</c:v>
                </c:pt>
                <c:pt idx="30">
                  <c:v>Makman</c:v>
                </c:pt>
                <c:pt idx="31">
                  <c:v>Adlos</c:v>
                </c:pt>
                <c:pt idx="32">
                  <c:v>Aoi</c:v>
                </c:pt>
                <c:pt idx="33">
                  <c:v>Lucilfer</c:v>
                </c:pt>
                <c:pt idx="34">
                  <c:v>Gojo</c:v>
                </c:pt>
                <c:pt idx="35">
                  <c:v>Yuji</c:v>
                </c:pt>
                <c:pt idx="36">
                  <c:v>Alucard</c:v>
                </c:pt>
                <c:pt idx="37">
                  <c:v>Miya</c:v>
                </c:pt>
                <c:pt idx="38">
                  <c:v>Karina</c:v>
                </c:pt>
                <c:pt idx="39">
                  <c:v>Fushiguro</c:v>
                </c:pt>
                <c:pt idx="40">
                  <c:v>Megumi</c:v>
                </c:pt>
                <c:pt idx="41">
                  <c:v>Kugisaki</c:v>
                </c:pt>
                <c:pt idx="42">
                  <c:v>Jogo</c:v>
                </c:pt>
                <c:pt idx="43">
                  <c:v>Itadori</c:v>
                </c:pt>
                <c:pt idx="44">
                  <c:v>Nobara</c:v>
                </c:pt>
                <c:pt idx="45">
                  <c:v>Toji</c:v>
                </c:pt>
                <c:pt idx="46">
                  <c:v>Yuta </c:v>
                </c:pt>
                <c:pt idx="47">
                  <c:v>Hakari</c:v>
                </c:pt>
                <c:pt idx="48">
                  <c:v>Sukuna</c:v>
                </c:pt>
                <c:pt idx="49">
                  <c:v>Todo</c:v>
                </c:pt>
              </c:strCache>
            </c:strRef>
          </c:cat>
          <c:val>
            <c:numRef>
              <c:f>'Summary month'!$K$4:$K$54</c:f>
              <c:numCache>
                <c:formatCode>General</c:formatCode>
                <c:ptCount val="50"/>
                <c:pt idx="0">
                  <c:v>2085</c:v>
                </c:pt>
                <c:pt idx="1">
                  <c:v>1985</c:v>
                </c:pt>
                <c:pt idx="2">
                  <c:v>1935</c:v>
                </c:pt>
                <c:pt idx="3">
                  <c:v>1935</c:v>
                </c:pt>
                <c:pt idx="4">
                  <c:v>1895</c:v>
                </c:pt>
                <c:pt idx="5">
                  <c:v>1895</c:v>
                </c:pt>
                <c:pt idx="6">
                  <c:v>1895</c:v>
                </c:pt>
                <c:pt idx="7">
                  <c:v>1885</c:v>
                </c:pt>
                <c:pt idx="8">
                  <c:v>1885</c:v>
                </c:pt>
                <c:pt idx="9">
                  <c:v>1885</c:v>
                </c:pt>
                <c:pt idx="10">
                  <c:v>1885</c:v>
                </c:pt>
                <c:pt idx="11">
                  <c:v>1885</c:v>
                </c:pt>
                <c:pt idx="12">
                  <c:v>1845</c:v>
                </c:pt>
                <c:pt idx="13">
                  <c:v>1845</c:v>
                </c:pt>
                <c:pt idx="14">
                  <c:v>1815</c:v>
                </c:pt>
                <c:pt idx="15">
                  <c:v>1805</c:v>
                </c:pt>
                <c:pt idx="16">
                  <c:v>1805</c:v>
                </c:pt>
                <c:pt idx="17">
                  <c:v>1805</c:v>
                </c:pt>
                <c:pt idx="18">
                  <c:v>1785</c:v>
                </c:pt>
                <c:pt idx="19">
                  <c:v>1770</c:v>
                </c:pt>
                <c:pt idx="20">
                  <c:v>1745</c:v>
                </c:pt>
                <c:pt idx="21">
                  <c:v>1745</c:v>
                </c:pt>
                <c:pt idx="22">
                  <c:v>1745</c:v>
                </c:pt>
                <c:pt idx="23">
                  <c:v>1735</c:v>
                </c:pt>
                <c:pt idx="24">
                  <c:v>1735</c:v>
                </c:pt>
                <c:pt idx="25">
                  <c:v>1735</c:v>
                </c:pt>
                <c:pt idx="26">
                  <c:v>1735</c:v>
                </c:pt>
                <c:pt idx="27">
                  <c:v>1710</c:v>
                </c:pt>
                <c:pt idx="28">
                  <c:v>1710</c:v>
                </c:pt>
                <c:pt idx="29">
                  <c:v>1710</c:v>
                </c:pt>
                <c:pt idx="30">
                  <c:v>1710</c:v>
                </c:pt>
                <c:pt idx="31">
                  <c:v>1710</c:v>
                </c:pt>
                <c:pt idx="32">
                  <c:v>1710</c:v>
                </c:pt>
                <c:pt idx="33">
                  <c:v>1665</c:v>
                </c:pt>
                <c:pt idx="34">
                  <c:v>1665</c:v>
                </c:pt>
                <c:pt idx="35">
                  <c:v>1665</c:v>
                </c:pt>
                <c:pt idx="36">
                  <c:v>1660</c:v>
                </c:pt>
                <c:pt idx="37">
                  <c:v>1660</c:v>
                </c:pt>
                <c:pt idx="38">
                  <c:v>1660</c:v>
                </c:pt>
                <c:pt idx="39">
                  <c:v>1630</c:v>
                </c:pt>
                <c:pt idx="40">
                  <c:v>1630</c:v>
                </c:pt>
                <c:pt idx="41">
                  <c:v>1610</c:v>
                </c:pt>
                <c:pt idx="42">
                  <c:v>1585</c:v>
                </c:pt>
                <c:pt idx="43">
                  <c:v>1585</c:v>
                </c:pt>
                <c:pt idx="44">
                  <c:v>1585</c:v>
                </c:pt>
                <c:pt idx="45">
                  <c:v>1530</c:v>
                </c:pt>
                <c:pt idx="46">
                  <c:v>1530</c:v>
                </c:pt>
                <c:pt idx="47">
                  <c:v>1495</c:v>
                </c:pt>
                <c:pt idx="48">
                  <c:v>1495</c:v>
                </c:pt>
                <c:pt idx="49">
                  <c:v>1415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46-48B9-B435-09068D010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6"/>
        <c:shape val="box"/>
        <c:axId val="870838127"/>
        <c:axId val="870837167"/>
        <c:axId val="0"/>
      </c:bar3DChart>
      <c:catAx>
        <c:axId val="870838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837167"/>
        <c:crosses val="autoZero"/>
        <c:auto val="1"/>
        <c:lblAlgn val="ctr"/>
        <c:lblOffset val="100"/>
        <c:noMultiLvlLbl val="0"/>
      </c:catAx>
      <c:valAx>
        <c:axId val="870837167"/>
        <c:scaling>
          <c:orientation val="minMax"/>
        </c:scaling>
        <c:delete val="0"/>
        <c:axPos val="b"/>
        <c:majorGridlines>
          <c:spPr>
            <a:ln w="158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83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266325</xdr:colOff>
      <xdr:row>59</xdr:row>
      <xdr:rowOff>139886</xdr:rowOff>
    </xdr:from>
    <xdr:to>
      <xdr:col>27</xdr:col>
      <xdr:colOff>74706</xdr:colOff>
      <xdr:row>78</xdr:row>
      <xdr:rowOff>82176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F4FF87-638A-A792-FCC1-36DB8910C7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61</xdr:col>
      <xdr:colOff>1180877</xdr:colOff>
      <xdr:row>2</xdr:row>
      <xdr:rowOff>66843</xdr:rowOff>
    </xdr:from>
    <xdr:to>
      <xdr:col>72</xdr:col>
      <xdr:colOff>802106</xdr:colOff>
      <xdr:row>34</xdr:row>
      <xdr:rowOff>77983</xdr:rowOff>
    </xdr:to>
    <xdr:sp macro="" textlink="">
      <xdr:nvSpPr>
        <xdr:cNvPr id="5" name="Background" descr="Background">
          <a:extLst>
            <a:ext uri="{FF2B5EF4-FFF2-40B4-BE49-F238E27FC236}">
              <a16:creationId xmlns:a16="http://schemas.microsoft.com/office/drawing/2014/main" id="{7D6F4955-86D6-4BB8-B0FC-DA37D1093A5A}"/>
            </a:ext>
          </a:extLst>
        </xdr:cNvPr>
        <xdr:cNvSpPr/>
      </xdr:nvSpPr>
      <xdr:spPr>
        <a:xfrm>
          <a:off x="74573509" y="712983"/>
          <a:ext cx="12855965" cy="10349386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100">
              <a:solidFill>
                <a:sysClr val="windowText" lastClr="000000"/>
              </a:solidFill>
            </a:rPr>
            <a:t>Problem: Employee Attendance and Payroll Management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Scenario: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You are managing the attendance and payroll for a company with 50 employees. Calculate the monthly salary for each employee based on their attendance records. The company has the following policies: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Working Days and Hours: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There are 22 working days in a month.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Each working day consists of 8 hours.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Employee Data: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Each employee has a unique Employee ID.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Attendance Records: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The attendance sheet records the number of hours worked by each employee per day.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There are three columns in the attendance sheet: Employee ID, Date, and Hours Worked.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Salary Calculation: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An employee is paid for the actual hours worked.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If an employee works overtime (more than 8 hours in a day), the overtime hours are paid at 1.5 times the regular hourly rate.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Employees who work less than the required 8 hours in a day are paid only for the hours worked.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Employees who do not work on a given day are not paid for that day.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Task: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Import the Data: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Create an Excel sheet that lists employees with their Employee IDs and hourly rates.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Create an attendance sheet that records the daily attendance of each employee for a month.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Calculate Total Hours and Overtime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Calculate the total hours worked by each employee for the month.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Calculate the total overtime hours for each employee.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Calculate 1 Month Salary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Calculate the total monthly salary for each employee considering regular and overtime hours.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Summarize the Data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Make a summary that includes each employee’s total regular hours, overtime hours, and salary for one month.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Requirements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Data Setup: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Employee Data Sheet (columns: Employee ID, Employee Name, Hourly Rate)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Attendance Sheet (columns: Employee ID, Date, Hours Worked)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Calculations: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Use appropriate formulas to handle the calculations (e.g., SUMIFS, IF, VLOOKUP).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Optionally, use VBA to automate the process if needed.</a:t>
          </a:r>
        </a:p>
        <a:p>
          <a:pPr algn="l"/>
          <a:r>
            <a:rPr lang="en-US" sz="1100">
              <a:solidFill>
                <a:sysClr val="windowText" lastClr="000000"/>
              </a:solidFill>
            </a:rPr>
            <a:t>Output: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  <a:p>
          <a:pPr algn="l"/>
          <a:r>
            <a:rPr lang="en-US" sz="1100">
              <a:solidFill>
                <a:sysClr val="windowText" lastClr="000000"/>
              </a:solidFill>
            </a:rPr>
            <a:t>A summary displaying each employee’s total regular hours, overtime hours, and salary.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396874</xdr:colOff>
      <xdr:row>1</xdr:row>
      <xdr:rowOff>149224</xdr:rowOff>
    </xdr:from>
    <xdr:to>
      <xdr:col>26</xdr:col>
      <xdr:colOff>196849</xdr:colOff>
      <xdr:row>15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4955B1-4D5F-96A7-F140-D179BFC50D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tzpaula" refreshedDate="45481.555685763888" createdVersion="8" refreshedVersion="8" minRefreshableVersion="3" recordCount="50" xr:uid="{2DC0288B-1179-4404-92A7-26F7789BB441}">
  <cacheSource type="worksheet">
    <worksheetSource ref="A3:D53" sheet="Summary month"/>
  </cacheSource>
  <cacheFields count="4">
    <cacheField name="Total hours work per employee" numFmtId="43">
      <sharedItems containsSemiMixedTypes="0" containsString="0" containsNumber="1" containsInteger="1" minValue="148" maxValue="183"/>
    </cacheField>
    <cacheField name="Total overtime of each employees" numFmtId="0">
      <sharedItems containsSemiMixedTypes="0" containsString="0" containsNumber="1" containsInteger="1" minValue="1" maxValue="17"/>
    </cacheField>
    <cacheField name="1 month salary" numFmtId="164">
      <sharedItems containsSemiMixedTypes="0" containsString="0" containsNumber="1" containsInteger="1" minValue="1415" maxValue="2085"/>
    </cacheField>
    <cacheField name="Employee name" numFmtId="0">
      <sharedItems count="50">
        <s v="Earl "/>
        <s v="Reymark "/>
        <s v="Knay"/>
        <s v="Kely"/>
        <s v="Lodi"/>
        <s v="Cakes"/>
        <s v="Petmalu"/>
        <s v="Char"/>
        <s v="Arnold"/>
        <s v="Renz"/>
        <s v="Panda"/>
        <s v="Gad"/>
        <s v="Raphael"/>
        <s v="Blipi"/>
        <s v="Kart"/>
        <s v="Ely"/>
        <s v="Adlos"/>
        <s v="Necky"/>
        <s v="Nemes"/>
        <s v="Nokar"/>
        <s v="Hyokik"/>
        <s v="Iguro"/>
        <s v="Sanemi"/>
        <s v="Gyomei"/>
        <s v="Tokito"/>
        <s v="Kanroji"/>
        <s v="Muichiro"/>
        <s v="Hashira"/>
        <s v="Muzan"/>
        <s v="Kibutsuji"/>
        <s v="Aoi"/>
        <s v="Makman"/>
        <s v="Yin"/>
        <s v="Karina"/>
        <s v="Alucard"/>
        <s v="Miya"/>
        <s v="Lucilfer"/>
        <s v="Yuji"/>
        <s v="Gojo"/>
        <s v="Jogo"/>
        <s v="Itadori"/>
        <s v="Nobara"/>
        <s v="Kugisaki"/>
        <s v="Fushiguro"/>
        <s v="Megumi"/>
        <s v="Toji"/>
        <s v="Yuta "/>
        <s v="Todo"/>
        <s v="Sukuna"/>
        <s v="Hakar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83"/>
    <n v="17"/>
    <n v="2085"/>
    <x v="0"/>
  </r>
  <r>
    <n v="175"/>
    <n v="9"/>
    <n v="1885"/>
    <x v="1"/>
  </r>
  <r>
    <n v="171"/>
    <n v="7"/>
    <n v="1815"/>
    <x v="2"/>
  </r>
  <r>
    <n v="177"/>
    <n v="11"/>
    <n v="1935"/>
    <x v="3"/>
  </r>
  <r>
    <n v="177"/>
    <n v="11"/>
    <n v="1935"/>
    <x v="4"/>
  </r>
  <r>
    <n v="179"/>
    <n v="13"/>
    <n v="1985"/>
    <x v="5"/>
  </r>
  <r>
    <n v="175"/>
    <n v="9"/>
    <n v="1885"/>
    <x v="6"/>
  </r>
  <r>
    <n v="175"/>
    <n v="9"/>
    <n v="1885"/>
    <x v="7"/>
  </r>
  <r>
    <n v="175"/>
    <n v="9"/>
    <n v="1885"/>
    <x v="8"/>
  </r>
  <r>
    <n v="175"/>
    <n v="9"/>
    <n v="1885"/>
    <x v="9"/>
  </r>
  <r>
    <n v="176"/>
    <n v="9"/>
    <n v="1895"/>
    <x v="10"/>
  </r>
  <r>
    <n v="174"/>
    <n v="7"/>
    <n v="1845"/>
    <x v="11"/>
  </r>
  <r>
    <n v="174"/>
    <n v="7"/>
    <n v="1845"/>
    <x v="12"/>
  </r>
  <r>
    <n v="176"/>
    <n v="9"/>
    <n v="1895"/>
    <x v="13"/>
  </r>
  <r>
    <n v="176"/>
    <n v="9"/>
    <n v="1895"/>
    <x v="14"/>
  </r>
  <r>
    <n v="171"/>
    <n v="4"/>
    <n v="1770"/>
    <x v="15"/>
  </r>
  <r>
    <n v="168"/>
    <n v="2"/>
    <n v="1710"/>
    <x v="16"/>
  </r>
  <r>
    <n v="168"/>
    <n v="2"/>
    <n v="1710"/>
    <x v="17"/>
  </r>
  <r>
    <n v="168"/>
    <n v="2"/>
    <n v="1710"/>
    <x v="18"/>
  </r>
  <r>
    <n v="170"/>
    <n v="3"/>
    <n v="1745"/>
    <x v="19"/>
  </r>
  <r>
    <n v="170"/>
    <n v="3"/>
    <n v="1745"/>
    <x v="20"/>
  </r>
  <r>
    <n v="170"/>
    <n v="3"/>
    <n v="1745"/>
    <x v="21"/>
  </r>
  <r>
    <n v="173"/>
    <n v="5"/>
    <n v="1805"/>
    <x v="22"/>
  </r>
  <r>
    <n v="173"/>
    <n v="5"/>
    <n v="1805"/>
    <x v="23"/>
  </r>
  <r>
    <n v="173"/>
    <n v="5"/>
    <n v="1805"/>
    <x v="24"/>
  </r>
  <r>
    <n v="171"/>
    <n v="5"/>
    <n v="1785"/>
    <x v="25"/>
  </r>
  <r>
    <n v="169"/>
    <n v="3"/>
    <n v="1735"/>
    <x v="26"/>
  </r>
  <r>
    <n v="169"/>
    <n v="3"/>
    <n v="1735"/>
    <x v="27"/>
  </r>
  <r>
    <n v="169"/>
    <n v="3"/>
    <n v="1735"/>
    <x v="28"/>
  </r>
  <r>
    <n v="169"/>
    <n v="3"/>
    <n v="1735"/>
    <x v="29"/>
  </r>
  <r>
    <n v="168"/>
    <n v="2"/>
    <n v="1710"/>
    <x v="30"/>
  </r>
  <r>
    <n v="168"/>
    <n v="2"/>
    <n v="1710"/>
    <x v="31"/>
  </r>
  <r>
    <n v="168"/>
    <n v="2"/>
    <n v="1710"/>
    <x v="32"/>
  </r>
  <r>
    <n v="163"/>
    <n v="2"/>
    <n v="1660"/>
    <x v="33"/>
  </r>
  <r>
    <n v="163"/>
    <n v="2"/>
    <n v="1660"/>
    <x v="34"/>
  </r>
  <r>
    <n v="163"/>
    <n v="2"/>
    <n v="1660"/>
    <x v="35"/>
  </r>
  <r>
    <n v="162"/>
    <n v="3"/>
    <n v="1665"/>
    <x v="36"/>
  </r>
  <r>
    <n v="162"/>
    <n v="3"/>
    <n v="1665"/>
    <x v="37"/>
  </r>
  <r>
    <n v="162"/>
    <n v="3"/>
    <n v="1665"/>
    <x v="38"/>
  </r>
  <r>
    <n v="157"/>
    <n v="1"/>
    <n v="1585"/>
    <x v="39"/>
  </r>
  <r>
    <n v="157"/>
    <n v="1"/>
    <n v="1585"/>
    <x v="40"/>
  </r>
  <r>
    <n v="157"/>
    <n v="1"/>
    <n v="1585"/>
    <x v="41"/>
  </r>
  <r>
    <n v="158"/>
    <n v="2"/>
    <n v="1610"/>
    <x v="42"/>
  </r>
  <r>
    <n v="160"/>
    <n v="2"/>
    <n v="1630"/>
    <x v="43"/>
  </r>
  <r>
    <n v="160"/>
    <n v="2"/>
    <n v="1630"/>
    <x v="44"/>
  </r>
  <r>
    <n v="150"/>
    <n v="2"/>
    <n v="1530"/>
    <x v="45"/>
  </r>
  <r>
    <n v="150"/>
    <n v="2"/>
    <n v="1530"/>
    <x v="46"/>
  </r>
  <r>
    <n v="148"/>
    <n v="1"/>
    <n v="1415"/>
    <x v="47"/>
  </r>
  <r>
    <n v="148"/>
    <n v="1"/>
    <n v="1495"/>
    <x v="48"/>
  </r>
  <r>
    <n v="148"/>
    <n v="1"/>
    <n v="1495"/>
    <x v="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0E4C06-94E6-4DF2-AE10-AFB939938F42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H3:K54" firstHeaderRow="0" firstDataRow="1" firstDataCol="1"/>
  <pivotFields count="4">
    <pivotField dataField="1" numFmtId="43" showAll="0"/>
    <pivotField dataField="1" showAll="0"/>
    <pivotField dataField="1" numFmtId="164" showAll="0"/>
    <pivotField axis="axisRow" showAll="0" sortType="descending">
      <items count="51">
        <item x="46"/>
        <item x="37"/>
        <item x="32"/>
        <item x="24"/>
        <item x="45"/>
        <item x="47"/>
        <item x="48"/>
        <item x="22"/>
        <item x="1"/>
        <item x="9"/>
        <item x="12"/>
        <item x="6"/>
        <item x="10"/>
        <item x="19"/>
        <item x="41"/>
        <item x="18"/>
        <item x="17"/>
        <item x="28"/>
        <item x="26"/>
        <item x="35"/>
        <item x="44"/>
        <item x="31"/>
        <item x="36"/>
        <item x="4"/>
        <item x="42"/>
        <item x="2"/>
        <item x="29"/>
        <item x="3"/>
        <item x="14"/>
        <item x="33"/>
        <item x="25"/>
        <item x="39"/>
        <item x="40"/>
        <item x="21"/>
        <item x="20"/>
        <item x="27"/>
        <item x="49"/>
        <item x="23"/>
        <item x="38"/>
        <item x="11"/>
        <item x="43"/>
        <item x="15"/>
        <item x="0"/>
        <item x="7"/>
        <item x="5"/>
        <item x="13"/>
        <item x="8"/>
        <item x="30"/>
        <item x="34"/>
        <item x="16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</pivotFields>
  <rowFields count="1">
    <field x="3"/>
  </rowFields>
  <rowItems count="51">
    <i>
      <x v="42"/>
    </i>
    <i>
      <x v="44"/>
    </i>
    <i>
      <x v="27"/>
    </i>
    <i>
      <x v="23"/>
    </i>
    <i>
      <x v="12"/>
    </i>
    <i>
      <x v="45"/>
    </i>
    <i>
      <x v="28"/>
    </i>
    <i>
      <x v="43"/>
    </i>
    <i>
      <x v="8"/>
    </i>
    <i>
      <x v="46"/>
    </i>
    <i>
      <x v="11"/>
    </i>
    <i>
      <x v="9"/>
    </i>
    <i>
      <x v="39"/>
    </i>
    <i>
      <x v="10"/>
    </i>
    <i>
      <x v="25"/>
    </i>
    <i>
      <x v="37"/>
    </i>
    <i>
      <x v="7"/>
    </i>
    <i>
      <x v="3"/>
    </i>
    <i>
      <x v="30"/>
    </i>
    <i>
      <x v="41"/>
    </i>
    <i>
      <x v="33"/>
    </i>
    <i>
      <x v="13"/>
    </i>
    <i>
      <x v="34"/>
    </i>
    <i>
      <x v="26"/>
    </i>
    <i>
      <x v="17"/>
    </i>
    <i>
      <x v="35"/>
    </i>
    <i>
      <x v="18"/>
    </i>
    <i>
      <x v="15"/>
    </i>
    <i>
      <x v="2"/>
    </i>
    <i>
      <x v="16"/>
    </i>
    <i>
      <x v="21"/>
    </i>
    <i>
      <x v="49"/>
    </i>
    <i>
      <x v="47"/>
    </i>
    <i>
      <x v="22"/>
    </i>
    <i>
      <x v="38"/>
    </i>
    <i>
      <x v="1"/>
    </i>
    <i>
      <x v="48"/>
    </i>
    <i>
      <x v="19"/>
    </i>
    <i>
      <x v="29"/>
    </i>
    <i>
      <x v="40"/>
    </i>
    <i>
      <x v="20"/>
    </i>
    <i>
      <x v="24"/>
    </i>
    <i>
      <x v="31"/>
    </i>
    <i>
      <x v="32"/>
    </i>
    <i>
      <x v="14"/>
    </i>
    <i>
      <x v="4"/>
    </i>
    <i>
      <x/>
    </i>
    <i>
      <x v="36"/>
    </i>
    <i>
      <x v="6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 overtime of each employees" fld="1" baseField="0" baseItem="0"/>
    <dataField name="Sum of Total hours work per employee" fld="0" baseField="0" baseItem="0"/>
    <dataField name="Sum of 1 month salary" fld="2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6C091-2EEC-4459-873D-7E091E435771}">
  <sheetPr codeName="Sheet1"/>
  <dimension ref="A1:BJ58"/>
  <sheetViews>
    <sheetView tabSelected="1" zoomScale="67" zoomScaleNormal="28" workbookViewId="0">
      <pane ySplit="1" topLeftCell="A2" activePane="bottomLeft" state="frozen"/>
      <selection pane="bottomLeft" activeCell="D9" sqref="D9"/>
    </sheetView>
  </sheetViews>
  <sheetFormatPr defaultColWidth="17.26953125" defaultRowHeight="25" customHeight="1" x14ac:dyDescent="0.35"/>
  <sheetData>
    <row r="1" spans="1:62" ht="25" customHeight="1" x14ac:dyDescent="0.35">
      <c r="A1" s="19" t="s">
        <v>72</v>
      </c>
      <c r="B1" s="19"/>
      <c r="C1" s="18" t="s">
        <v>73</v>
      </c>
      <c r="D1" s="18"/>
      <c r="E1" s="18"/>
      <c r="F1" s="18"/>
      <c r="G1" s="18"/>
      <c r="H1" s="18"/>
      <c r="I1" s="18"/>
      <c r="R1" s="6"/>
    </row>
    <row r="2" spans="1:62" ht="25" customHeight="1" x14ac:dyDescent="0.35">
      <c r="BJ2" s="17"/>
    </row>
    <row r="3" spans="1:62" ht="25" customHeight="1" x14ac:dyDescent="0.35">
      <c r="A3" s="7" t="s">
        <v>3</v>
      </c>
      <c r="B3" s="8" t="s">
        <v>0</v>
      </c>
      <c r="C3" s="9" t="s">
        <v>1</v>
      </c>
      <c r="D3" s="10" t="s">
        <v>2</v>
      </c>
      <c r="E3" s="11" t="s">
        <v>93</v>
      </c>
      <c r="F3" s="12" t="s">
        <v>75</v>
      </c>
      <c r="G3" s="13" t="s">
        <v>74</v>
      </c>
      <c r="H3" s="14" t="s">
        <v>94</v>
      </c>
      <c r="I3" s="15" t="s">
        <v>92</v>
      </c>
      <c r="R3" s="2"/>
      <c r="Z3" s="2"/>
    </row>
    <row r="4" spans="1:62" ht="25" customHeight="1" x14ac:dyDescent="0.35">
      <c r="A4" t="s">
        <v>4</v>
      </c>
      <c r="B4" t="s">
        <v>22</v>
      </c>
      <c r="C4" s="3">
        <v>44927</v>
      </c>
      <c r="D4" s="4">
        <v>8</v>
      </c>
      <c r="E4">
        <f>IF(D4&gt;8,D4-8,0)</f>
        <v>0</v>
      </c>
      <c r="F4" s="1">
        <v>10</v>
      </c>
      <c r="G4" s="1">
        <f>F4*D4</f>
        <v>80</v>
      </c>
      <c r="H4" s="1">
        <f>F4*E4*1.5</f>
        <v>0</v>
      </c>
      <c r="I4" s="1">
        <f>G4+H4</f>
        <v>80</v>
      </c>
      <c r="R4" s="1"/>
    </row>
    <row r="5" spans="1:62" ht="25" customHeight="1" x14ac:dyDescent="0.35">
      <c r="A5" t="s">
        <v>5</v>
      </c>
      <c r="B5" t="s">
        <v>23</v>
      </c>
      <c r="C5" s="3">
        <v>44927</v>
      </c>
      <c r="D5" s="4">
        <v>8</v>
      </c>
      <c r="E5">
        <f t="shared" ref="E5:E53" si="0">IF(D5&gt;8,D5-8,0)</f>
        <v>0</v>
      </c>
      <c r="F5" s="1">
        <v>10</v>
      </c>
      <c r="G5" s="1">
        <f t="shared" ref="G5:G53" si="1">F5*D5</f>
        <v>80</v>
      </c>
      <c r="H5" s="1">
        <f t="shared" ref="H5:H53" si="2">F5*E5*1.5</f>
        <v>0</v>
      </c>
      <c r="I5" s="1">
        <f>G5+H5</f>
        <v>80</v>
      </c>
      <c r="R5" s="1"/>
    </row>
    <row r="6" spans="1:62" ht="25" customHeight="1" x14ac:dyDescent="0.35">
      <c r="A6" t="s">
        <v>95</v>
      </c>
      <c r="B6" t="s">
        <v>24</v>
      </c>
      <c r="C6" s="3">
        <v>44927</v>
      </c>
      <c r="D6" s="4">
        <v>8</v>
      </c>
      <c r="E6">
        <f t="shared" si="0"/>
        <v>0</v>
      </c>
      <c r="F6" s="1">
        <v>10</v>
      </c>
      <c r="G6" s="1">
        <f t="shared" si="1"/>
        <v>80</v>
      </c>
      <c r="H6" s="1">
        <f t="shared" si="2"/>
        <v>0</v>
      </c>
      <c r="I6" s="1">
        <f t="shared" ref="I6:I53" si="3">G6+H6</f>
        <v>80</v>
      </c>
      <c r="R6" s="1"/>
    </row>
    <row r="7" spans="1:62" ht="25" customHeight="1" x14ac:dyDescent="0.35">
      <c r="A7" t="s">
        <v>96</v>
      </c>
      <c r="B7" t="s">
        <v>25</v>
      </c>
      <c r="C7" s="3">
        <v>44927</v>
      </c>
      <c r="D7" s="4">
        <v>8</v>
      </c>
      <c r="E7">
        <f t="shared" si="0"/>
        <v>0</v>
      </c>
      <c r="F7" s="1">
        <v>10</v>
      </c>
      <c r="G7" s="1">
        <f t="shared" si="1"/>
        <v>80</v>
      </c>
      <c r="H7" s="1">
        <f t="shared" si="2"/>
        <v>0</v>
      </c>
      <c r="I7" s="1">
        <f t="shared" si="3"/>
        <v>80</v>
      </c>
      <c r="R7" s="1"/>
    </row>
    <row r="8" spans="1:62" ht="25" customHeight="1" x14ac:dyDescent="0.35">
      <c r="A8" t="s">
        <v>97</v>
      </c>
      <c r="B8" t="s">
        <v>26</v>
      </c>
      <c r="C8" s="3">
        <v>44927</v>
      </c>
      <c r="D8" s="4">
        <v>8</v>
      </c>
      <c r="E8">
        <f t="shared" si="0"/>
        <v>0</v>
      </c>
      <c r="F8" s="1">
        <v>10</v>
      </c>
      <c r="G8" s="1">
        <f t="shared" si="1"/>
        <v>80</v>
      </c>
      <c r="H8" s="1">
        <f t="shared" si="2"/>
        <v>0</v>
      </c>
      <c r="I8" s="1">
        <f t="shared" si="3"/>
        <v>80</v>
      </c>
      <c r="R8" s="1"/>
    </row>
    <row r="9" spans="1:62" ht="25" customHeight="1" x14ac:dyDescent="0.35">
      <c r="A9" t="s">
        <v>98</v>
      </c>
      <c r="B9" t="s">
        <v>27</v>
      </c>
      <c r="C9" s="3">
        <v>44927</v>
      </c>
      <c r="D9" s="4">
        <v>8</v>
      </c>
      <c r="E9">
        <f t="shared" si="0"/>
        <v>0</v>
      </c>
      <c r="F9" s="1">
        <v>10</v>
      </c>
      <c r="G9" s="1">
        <f t="shared" si="1"/>
        <v>80</v>
      </c>
      <c r="H9" s="1">
        <f t="shared" si="2"/>
        <v>0</v>
      </c>
      <c r="I9" s="1">
        <f t="shared" si="3"/>
        <v>80</v>
      </c>
      <c r="R9" s="1"/>
    </row>
    <row r="10" spans="1:62" ht="25" customHeight="1" x14ac:dyDescent="0.35">
      <c r="A10" t="s">
        <v>99</v>
      </c>
      <c r="B10" t="s">
        <v>28</v>
      </c>
      <c r="C10" s="3">
        <v>44927</v>
      </c>
      <c r="D10" s="4">
        <v>8</v>
      </c>
      <c r="E10">
        <f t="shared" si="0"/>
        <v>0</v>
      </c>
      <c r="F10" s="1">
        <v>10</v>
      </c>
      <c r="G10" s="1">
        <f t="shared" si="1"/>
        <v>80</v>
      </c>
      <c r="H10" s="1">
        <f t="shared" si="2"/>
        <v>0</v>
      </c>
      <c r="I10" s="1">
        <f t="shared" si="3"/>
        <v>80</v>
      </c>
      <c r="R10" s="1"/>
    </row>
    <row r="11" spans="1:62" ht="25" customHeight="1" x14ac:dyDescent="0.35">
      <c r="A11" t="s">
        <v>100</v>
      </c>
      <c r="B11" t="s">
        <v>29</v>
      </c>
      <c r="C11" s="3">
        <v>44927</v>
      </c>
      <c r="D11" s="4">
        <v>8</v>
      </c>
      <c r="E11">
        <f t="shared" si="0"/>
        <v>0</v>
      </c>
      <c r="F11" s="1">
        <v>10</v>
      </c>
      <c r="G11" s="1">
        <f t="shared" si="1"/>
        <v>80</v>
      </c>
      <c r="H11" s="1">
        <f t="shared" si="2"/>
        <v>0</v>
      </c>
      <c r="I11" s="1">
        <f t="shared" si="3"/>
        <v>80</v>
      </c>
      <c r="R11" s="1"/>
    </row>
    <row r="12" spans="1:62" ht="25" customHeight="1" x14ac:dyDescent="0.35">
      <c r="A12" t="s">
        <v>6</v>
      </c>
      <c r="B12" t="s">
        <v>30</v>
      </c>
      <c r="C12" s="3">
        <v>44927</v>
      </c>
      <c r="D12" s="4">
        <v>8</v>
      </c>
      <c r="E12">
        <f t="shared" si="0"/>
        <v>0</v>
      </c>
      <c r="F12" s="1">
        <v>10</v>
      </c>
      <c r="G12" s="1">
        <f t="shared" si="1"/>
        <v>80</v>
      </c>
      <c r="H12" s="1">
        <f t="shared" si="2"/>
        <v>0</v>
      </c>
      <c r="I12" s="1">
        <f t="shared" si="3"/>
        <v>80</v>
      </c>
      <c r="R12" s="1"/>
    </row>
    <row r="13" spans="1:62" ht="25" customHeight="1" x14ac:dyDescent="0.35">
      <c r="A13" t="s">
        <v>7</v>
      </c>
      <c r="B13" t="s">
        <v>31</v>
      </c>
      <c r="C13" s="3">
        <v>44927</v>
      </c>
      <c r="D13" s="4">
        <v>8</v>
      </c>
      <c r="E13">
        <f t="shared" si="0"/>
        <v>0</v>
      </c>
      <c r="F13" s="1">
        <v>10</v>
      </c>
      <c r="G13" s="1">
        <f t="shared" si="1"/>
        <v>80</v>
      </c>
      <c r="H13" s="1">
        <f t="shared" si="2"/>
        <v>0</v>
      </c>
      <c r="I13" s="1">
        <f t="shared" si="3"/>
        <v>80</v>
      </c>
      <c r="R13" s="1"/>
    </row>
    <row r="14" spans="1:62" ht="25" customHeight="1" x14ac:dyDescent="0.35">
      <c r="A14" t="s">
        <v>101</v>
      </c>
      <c r="B14" t="s">
        <v>32</v>
      </c>
      <c r="C14" s="3">
        <v>44927</v>
      </c>
      <c r="D14" s="4">
        <v>8</v>
      </c>
      <c r="E14">
        <f t="shared" si="0"/>
        <v>0</v>
      </c>
      <c r="F14" s="1">
        <v>10</v>
      </c>
      <c r="G14" s="1">
        <f t="shared" si="1"/>
        <v>80</v>
      </c>
      <c r="H14" s="1">
        <f t="shared" si="2"/>
        <v>0</v>
      </c>
      <c r="I14" s="1">
        <f t="shared" si="3"/>
        <v>80</v>
      </c>
      <c r="R14" s="1"/>
    </row>
    <row r="15" spans="1:62" ht="25" customHeight="1" x14ac:dyDescent="0.35">
      <c r="A15" t="s">
        <v>102</v>
      </c>
      <c r="B15" t="s">
        <v>33</v>
      </c>
      <c r="C15" s="3">
        <v>44927</v>
      </c>
      <c r="D15" s="4">
        <v>8</v>
      </c>
      <c r="E15">
        <f t="shared" si="0"/>
        <v>0</v>
      </c>
      <c r="F15" s="1">
        <v>10</v>
      </c>
      <c r="G15" s="1">
        <f t="shared" si="1"/>
        <v>80</v>
      </c>
      <c r="H15" s="1">
        <f t="shared" si="2"/>
        <v>0</v>
      </c>
      <c r="I15" s="1">
        <f t="shared" si="3"/>
        <v>80</v>
      </c>
      <c r="R15" s="1"/>
    </row>
    <row r="16" spans="1:62" ht="25" customHeight="1" x14ac:dyDescent="0.35">
      <c r="A16" t="s">
        <v>8</v>
      </c>
      <c r="B16" t="s">
        <v>34</v>
      </c>
      <c r="C16" s="3">
        <v>44927</v>
      </c>
      <c r="D16" s="4">
        <v>8</v>
      </c>
      <c r="E16">
        <f t="shared" si="0"/>
        <v>0</v>
      </c>
      <c r="F16" s="1">
        <v>10</v>
      </c>
      <c r="G16" s="1">
        <f t="shared" si="1"/>
        <v>80</v>
      </c>
      <c r="H16" s="1">
        <f t="shared" si="2"/>
        <v>0</v>
      </c>
      <c r="I16" s="1">
        <f t="shared" si="3"/>
        <v>80</v>
      </c>
      <c r="R16" s="1"/>
    </row>
    <row r="17" spans="1:18" ht="25" customHeight="1" x14ac:dyDescent="0.35">
      <c r="A17" t="s">
        <v>103</v>
      </c>
      <c r="B17" t="s">
        <v>35</v>
      </c>
      <c r="C17" s="3">
        <v>44927</v>
      </c>
      <c r="D17" s="4">
        <v>10</v>
      </c>
      <c r="E17">
        <f t="shared" si="0"/>
        <v>2</v>
      </c>
      <c r="F17" s="1">
        <v>10</v>
      </c>
      <c r="G17" s="1">
        <f t="shared" si="1"/>
        <v>100</v>
      </c>
      <c r="H17" s="1">
        <f t="shared" si="2"/>
        <v>30</v>
      </c>
      <c r="I17" s="1">
        <f t="shared" si="3"/>
        <v>130</v>
      </c>
      <c r="R17" s="1"/>
    </row>
    <row r="18" spans="1:18" ht="25" customHeight="1" x14ac:dyDescent="0.35">
      <c r="A18" t="s">
        <v>104</v>
      </c>
      <c r="B18" t="s">
        <v>36</v>
      </c>
      <c r="C18" s="3">
        <v>44927</v>
      </c>
      <c r="D18" s="4">
        <v>10</v>
      </c>
      <c r="E18">
        <f t="shared" si="0"/>
        <v>2</v>
      </c>
      <c r="F18" s="1">
        <v>10</v>
      </c>
      <c r="G18" s="1">
        <f t="shared" si="1"/>
        <v>100</v>
      </c>
      <c r="H18" s="1">
        <f t="shared" si="2"/>
        <v>30</v>
      </c>
      <c r="I18" s="1">
        <f t="shared" si="3"/>
        <v>130</v>
      </c>
      <c r="R18" s="1"/>
    </row>
    <row r="19" spans="1:18" ht="25" customHeight="1" x14ac:dyDescent="0.35">
      <c r="A19" t="s">
        <v>105</v>
      </c>
      <c r="B19" t="s">
        <v>37</v>
      </c>
      <c r="C19" s="3">
        <v>44927</v>
      </c>
      <c r="D19" s="4">
        <v>10</v>
      </c>
      <c r="E19">
        <f t="shared" si="0"/>
        <v>2</v>
      </c>
      <c r="F19" s="1">
        <v>10</v>
      </c>
      <c r="G19" s="1">
        <f t="shared" si="1"/>
        <v>100</v>
      </c>
      <c r="H19" s="1">
        <f t="shared" si="2"/>
        <v>30</v>
      </c>
      <c r="I19" s="1">
        <f t="shared" si="3"/>
        <v>130</v>
      </c>
      <c r="R19" s="1"/>
    </row>
    <row r="20" spans="1:18" ht="25" customHeight="1" x14ac:dyDescent="0.35">
      <c r="A20" t="s">
        <v>106</v>
      </c>
      <c r="B20" t="s">
        <v>38</v>
      </c>
      <c r="C20" s="3">
        <v>44927</v>
      </c>
      <c r="D20" s="4">
        <v>7</v>
      </c>
      <c r="E20">
        <f t="shared" si="0"/>
        <v>0</v>
      </c>
      <c r="F20" s="1">
        <v>10</v>
      </c>
      <c r="G20" s="1">
        <f t="shared" si="1"/>
        <v>70</v>
      </c>
      <c r="H20" s="1">
        <f t="shared" si="2"/>
        <v>0</v>
      </c>
      <c r="I20" s="1">
        <f t="shared" si="3"/>
        <v>70</v>
      </c>
      <c r="R20" s="1"/>
    </row>
    <row r="21" spans="1:18" ht="25" customHeight="1" x14ac:dyDescent="0.35">
      <c r="A21" t="s">
        <v>107</v>
      </c>
      <c r="B21" t="s">
        <v>39</v>
      </c>
      <c r="C21" s="3">
        <v>44927</v>
      </c>
      <c r="D21" s="4">
        <v>7</v>
      </c>
      <c r="E21">
        <f t="shared" si="0"/>
        <v>0</v>
      </c>
      <c r="F21" s="1">
        <v>10</v>
      </c>
      <c r="G21" s="1">
        <f t="shared" si="1"/>
        <v>70</v>
      </c>
      <c r="H21" s="1">
        <f t="shared" si="2"/>
        <v>0</v>
      </c>
      <c r="I21" s="1">
        <f t="shared" si="3"/>
        <v>70</v>
      </c>
      <c r="R21" s="1"/>
    </row>
    <row r="22" spans="1:18" ht="25" customHeight="1" x14ac:dyDescent="0.35">
      <c r="A22" t="s">
        <v>108</v>
      </c>
      <c r="B22" t="s">
        <v>40</v>
      </c>
      <c r="C22" s="3">
        <v>44927</v>
      </c>
      <c r="D22" s="4">
        <v>7</v>
      </c>
      <c r="E22">
        <f t="shared" si="0"/>
        <v>0</v>
      </c>
      <c r="F22" s="1">
        <v>10</v>
      </c>
      <c r="G22" s="1">
        <f t="shared" si="1"/>
        <v>70</v>
      </c>
      <c r="H22" s="1">
        <f t="shared" si="2"/>
        <v>0</v>
      </c>
      <c r="I22" s="1">
        <f t="shared" si="3"/>
        <v>70</v>
      </c>
      <c r="R22" s="1"/>
    </row>
    <row r="23" spans="1:18" ht="25" customHeight="1" x14ac:dyDescent="0.35">
      <c r="A23" t="s">
        <v>109</v>
      </c>
      <c r="B23" t="s">
        <v>41</v>
      </c>
      <c r="C23" s="3">
        <v>44927</v>
      </c>
      <c r="D23" s="4">
        <v>7</v>
      </c>
      <c r="E23">
        <f t="shared" si="0"/>
        <v>0</v>
      </c>
      <c r="F23" s="1">
        <v>10</v>
      </c>
      <c r="G23" s="1">
        <f t="shared" si="1"/>
        <v>70</v>
      </c>
      <c r="H23" s="1">
        <f t="shared" si="2"/>
        <v>0</v>
      </c>
      <c r="I23" s="1">
        <f t="shared" si="3"/>
        <v>70</v>
      </c>
      <c r="R23" s="1"/>
    </row>
    <row r="24" spans="1:18" ht="25" customHeight="1" x14ac:dyDescent="0.35">
      <c r="A24" t="s">
        <v>110</v>
      </c>
      <c r="B24" t="s">
        <v>42</v>
      </c>
      <c r="C24" s="3">
        <v>44927</v>
      </c>
      <c r="D24" s="4">
        <v>7</v>
      </c>
      <c r="E24">
        <f t="shared" si="0"/>
        <v>0</v>
      </c>
      <c r="F24" s="1">
        <v>10</v>
      </c>
      <c r="G24" s="1">
        <f t="shared" si="1"/>
        <v>70</v>
      </c>
      <c r="H24" s="1">
        <f t="shared" si="2"/>
        <v>0</v>
      </c>
      <c r="I24" s="1">
        <f t="shared" si="3"/>
        <v>70</v>
      </c>
      <c r="R24" s="1"/>
    </row>
    <row r="25" spans="1:18" ht="25" customHeight="1" x14ac:dyDescent="0.35">
      <c r="A25" t="s">
        <v>111</v>
      </c>
      <c r="B25" t="s">
        <v>43</v>
      </c>
      <c r="C25" s="3">
        <v>44927</v>
      </c>
      <c r="D25" s="4">
        <v>7</v>
      </c>
      <c r="E25">
        <f t="shared" si="0"/>
        <v>0</v>
      </c>
      <c r="F25" s="1">
        <v>10</v>
      </c>
      <c r="G25" s="1">
        <f t="shared" si="1"/>
        <v>70</v>
      </c>
      <c r="H25" s="1">
        <f t="shared" si="2"/>
        <v>0</v>
      </c>
      <c r="I25" s="1">
        <f t="shared" si="3"/>
        <v>70</v>
      </c>
      <c r="R25" s="1"/>
    </row>
    <row r="26" spans="1:18" ht="25" customHeight="1" x14ac:dyDescent="0.35">
      <c r="A26" t="s">
        <v>112</v>
      </c>
      <c r="B26" t="s">
        <v>44</v>
      </c>
      <c r="C26" s="3">
        <v>44927</v>
      </c>
      <c r="D26" s="4">
        <v>10</v>
      </c>
      <c r="E26">
        <f t="shared" si="0"/>
        <v>2</v>
      </c>
      <c r="F26" s="1">
        <v>10</v>
      </c>
      <c r="G26" s="1">
        <f t="shared" si="1"/>
        <v>100</v>
      </c>
      <c r="H26" s="1">
        <f t="shared" si="2"/>
        <v>30</v>
      </c>
      <c r="I26" s="1">
        <f t="shared" si="3"/>
        <v>130</v>
      </c>
      <c r="R26" s="1"/>
    </row>
    <row r="27" spans="1:18" ht="25" customHeight="1" x14ac:dyDescent="0.35">
      <c r="A27" t="s">
        <v>113</v>
      </c>
      <c r="B27" t="s">
        <v>45</v>
      </c>
      <c r="C27" s="3">
        <v>44927</v>
      </c>
      <c r="D27" s="4">
        <v>10</v>
      </c>
      <c r="E27">
        <f t="shared" si="0"/>
        <v>2</v>
      </c>
      <c r="F27" s="1">
        <v>10</v>
      </c>
      <c r="G27" s="1">
        <f t="shared" si="1"/>
        <v>100</v>
      </c>
      <c r="H27" s="1">
        <f t="shared" si="2"/>
        <v>30</v>
      </c>
      <c r="I27" s="1">
        <f t="shared" si="3"/>
        <v>130</v>
      </c>
      <c r="R27" s="1"/>
    </row>
    <row r="28" spans="1:18" ht="25" customHeight="1" x14ac:dyDescent="0.35">
      <c r="A28" t="s">
        <v>114</v>
      </c>
      <c r="B28" t="s">
        <v>46</v>
      </c>
      <c r="C28" s="3">
        <v>44927</v>
      </c>
      <c r="D28" s="4">
        <v>10</v>
      </c>
      <c r="E28">
        <f t="shared" si="0"/>
        <v>2</v>
      </c>
      <c r="F28" s="1">
        <v>10</v>
      </c>
      <c r="G28" s="1">
        <f t="shared" si="1"/>
        <v>100</v>
      </c>
      <c r="H28" s="1">
        <f t="shared" si="2"/>
        <v>30</v>
      </c>
      <c r="I28" s="1">
        <f t="shared" si="3"/>
        <v>130</v>
      </c>
      <c r="R28" s="1"/>
    </row>
    <row r="29" spans="1:18" ht="25" customHeight="1" x14ac:dyDescent="0.35">
      <c r="A29" t="s">
        <v>115</v>
      </c>
      <c r="B29" t="s">
        <v>47</v>
      </c>
      <c r="C29" s="3">
        <v>44927</v>
      </c>
      <c r="D29" s="4">
        <v>10</v>
      </c>
      <c r="E29">
        <f t="shared" si="0"/>
        <v>2</v>
      </c>
      <c r="F29" s="1">
        <v>10</v>
      </c>
      <c r="G29" s="1">
        <f t="shared" si="1"/>
        <v>100</v>
      </c>
      <c r="H29" s="1">
        <f t="shared" si="2"/>
        <v>30</v>
      </c>
      <c r="I29" s="1">
        <f t="shared" si="3"/>
        <v>130</v>
      </c>
      <c r="R29" s="1"/>
    </row>
    <row r="30" spans="1:18" ht="25" customHeight="1" x14ac:dyDescent="0.35">
      <c r="A30" t="s">
        <v>116</v>
      </c>
      <c r="B30" t="s">
        <v>48</v>
      </c>
      <c r="C30" s="3">
        <v>44927</v>
      </c>
      <c r="D30" s="4">
        <v>8</v>
      </c>
      <c r="E30">
        <f t="shared" si="0"/>
        <v>0</v>
      </c>
      <c r="F30" s="1">
        <v>10</v>
      </c>
      <c r="G30" s="1">
        <f t="shared" si="1"/>
        <v>80</v>
      </c>
      <c r="H30" s="1">
        <f t="shared" si="2"/>
        <v>0</v>
      </c>
      <c r="I30" s="1">
        <f t="shared" si="3"/>
        <v>80</v>
      </c>
      <c r="R30" s="1"/>
    </row>
    <row r="31" spans="1:18" ht="25" customHeight="1" x14ac:dyDescent="0.35">
      <c r="A31" t="s">
        <v>117</v>
      </c>
      <c r="B31" t="s">
        <v>49</v>
      </c>
      <c r="C31" s="3">
        <v>44927</v>
      </c>
      <c r="D31" s="4">
        <v>8</v>
      </c>
      <c r="E31">
        <f t="shared" si="0"/>
        <v>0</v>
      </c>
      <c r="F31" s="1">
        <v>10</v>
      </c>
      <c r="G31" s="1">
        <f t="shared" si="1"/>
        <v>80</v>
      </c>
      <c r="H31" s="1">
        <f t="shared" si="2"/>
        <v>0</v>
      </c>
      <c r="I31" s="1">
        <f t="shared" si="3"/>
        <v>80</v>
      </c>
      <c r="R31" s="1"/>
    </row>
    <row r="32" spans="1:18" ht="25" customHeight="1" x14ac:dyDescent="0.35">
      <c r="A32" t="s">
        <v>118</v>
      </c>
      <c r="B32" t="s">
        <v>50</v>
      </c>
      <c r="C32" s="3">
        <v>44927</v>
      </c>
      <c r="D32" s="4">
        <v>8</v>
      </c>
      <c r="E32">
        <f t="shared" si="0"/>
        <v>0</v>
      </c>
      <c r="F32" s="1">
        <v>10</v>
      </c>
      <c r="G32" s="1">
        <f t="shared" si="1"/>
        <v>80</v>
      </c>
      <c r="H32" s="1">
        <f t="shared" si="2"/>
        <v>0</v>
      </c>
      <c r="I32" s="1">
        <f t="shared" si="3"/>
        <v>80</v>
      </c>
      <c r="R32" s="1"/>
    </row>
    <row r="33" spans="1:18" ht="25" customHeight="1" x14ac:dyDescent="0.35">
      <c r="A33" t="s">
        <v>119</v>
      </c>
      <c r="B33" t="s">
        <v>51</v>
      </c>
      <c r="C33" s="3">
        <v>44927</v>
      </c>
      <c r="D33" s="4">
        <v>8</v>
      </c>
      <c r="E33">
        <f t="shared" si="0"/>
        <v>0</v>
      </c>
      <c r="F33" s="1">
        <v>10</v>
      </c>
      <c r="G33" s="1">
        <f t="shared" si="1"/>
        <v>80</v>
      </c>
      <c r="H33" s="1">
        <f t="shared" si="2"/>
        <v>0</v>
      </c>
      <c r="I33" s="1">
        <f t="shared" si="3"/>
        <v>80</v>
      </c>
      <c r="R33" s="1"/>
    </row>
    <row r="34" spans="1:18" ht="25" customHeight="1" x14ac:dyDescent="0.35">
      <c r="A34" t="s">
        <v>120</v>
      </c>
      <c r="B34" t="s">
        <v>52</v>
      </c>
      <c r="C34" s="3">
        <v>44927</v>
      </c>
      <c r="D34" s="4">
        <v>8</v>
      </c>
      <c r="E34">
        <f t="shared" si="0"/>
        <v>0</v>
      </c>
      <c r="F34" s="1">
        <v>10</v>
      </c>
      <c r="G34" s="1">
        <f t="shared" si="1"/>
        <v>80</v>
      </c>
      <c r="H34" s="1">
        <f t="shared" si="2"/>
        <v>0</v>
      </c>
      <c r="I34" s="1">
        <f t="shared" si="3"/>
        <v>80</v>
      </c>
      <c r="R34" s="1"/>
    </row>
    <row r="35" spans="1:18" ht="25" customHeight="1" x14ac:dyDescent="0.35">
      <c r="A35" t="s">
        <v>121</v>
      </c>
      <c r="B35" t="s">
        <v>53</v>
      </c>
      <c r="C35" s="3">
        <v>44927</v>
      </c>
      <c r="D35" s="4">
        <v>8</v>
      </c>
      <c r="E35">
        <f t="shared" si="0"/>
        <v>0</v>
      </c>
      <c r="F35" s="1">
        <v>10</v>
      </c>
      <c r="G35" s="1">
        <f t="shared" si="1"/>
        <v>80</v>
      </c>
      <c r="H35" s="1">
        <f t="shared" si="2"/>
        <v>0</v>
      </c>
      <c r="I35" s="1">
        <f t="shared" si="3"/>
        <v>80</v>
      </c>
      <c r="R35" s="1"/>
    </row>
    <row r="36" spans="1:18" ht="25" customHeight="1" x14ac:dyDescent="0.35">
      <c r="A36" t="s">
        <v>122</v>
      </c>
      <c r="B36" t="s">
        <v>54</v>
      </c>
      <c r="C36" s="3">
        <v>44927</v>
      </c>
      <c r="D36" s="4">
        <v>8</v>
      </c>
      <c r="E36">
        <f t="shared" si="0"/>
        <v>0</v>
      </c>
      <c r="F36" s="1">
        <v>10</v>
      </c>
      <c r="G36" s="1">
        <f t="shared" si="1"/>
        <v>80</v>
      </c>
      <c r="H36" s="1">
        <f t="shared" si="2"/>
        <v>0</v>
      </c>
      <c r="I36" s="1">
        <f t="shared" si="3"/>
        <v>80</v>
      </c>
      <c r="R36" s="1"/>
    </row>
    <row r="37" spans="1:18" ht="25" customHeight="1" x14ac:dyDescent="0.35">
      <c r="A37" t="s">
        <v>123</v>
      </c>
      <c r="B37" t="s">
        <v>55</v>
      </c>
      <c r="C37" s="3">
        <v>44927</v>
      </c>
      <c r="D37" s="4">
        <v>8</v>
      </c>
      <c r="E37">
        <f t="shared" si="0"/>
        <v>0</v>
      </c>
      <c r="F37" s="1">
        <v>10</v>
      </c>
      <c r="G37" s="1">
        <f t="shared" si="1"/>
        <v>80</v>
      </c>
      <c r="H37" s="1">
        <f t="shared" si="2"/>
        <v>0</v>
      </c>
      <c r="I37" s="1">
        <f t="shared" si="3"/>
        <v>80</v>
      </c>
      <c r="R37" s="1"/>
    </row>
    <row r="38" spans="1:18" ht="25" customHeight="1" x14ac:dyDescent="0.35">
      <c r="A38" t="s">
        <v>124</v>
      </c>
      <c r="B38" t="s">
        <v>56</v>
      </c>
      <c r="C38" s="3">
        <v>44927</v>
      </c>
      <c r="D38" s="4">
        <v>8</v>
      </c>
      <c r="E38">
        <f t="shared" si="0"/>
        <v>0</v>
      </c>
      <c r="F38" s="1">
        <v>10</v>
      </c>
      <c r="G38" s="1">
        <f t="shared" si="1"/>
        <v>80</v>
      </c>
      <c r="H38" s="1">
        <f t="shared" si="2"/>
        <v>0</v>
      </c>
      <c r="I38" s="1">
        <f t="shared" si="3"/>
        <v>80</v>
      </c>
      <c r="R38" s="1"/>
    </row>
    <row r="39" spans="1:18" ht="25" customHeight="1" x14ac:dyDescent="0.35">
      <c r="A39" t="s">
        <v>125</v>
      </c>
      <c r="B39" t="s">
        <v>57</v>
      </c>
      <c r="C39" s="3">
        <v>44927</v>
      </c>
      <c r="D39" s="4">
        <v>8</v>
      </c>
      <c r="E39">
        <f t="shared" si="0"/>
        <v>0</v>
      </c>
      <c r="F39" s="1">
        <v>10</v>
      </c>
      <c r="G39" s="1">
        <f t="shared" si="1"/>
        <v>80</v>
      </c>
      <c r="H39" s="1">
        <f t="shared" si="2"/>
        <v>0</v>
      </c>
      <c r="I39" s="1">
        <f t="shared" si="3"/>
        <v>80</v>
      </c>
      <c r="R39" s="1"/>
    </row>
    <row r="40" spans="1:18" ht="25" customHeight="1" x14ac:dyDescent="0.35">
      <c r="A40" t="s">
        <v>9</v>
      </c>
      <c r="B40" t="s">
        <v>58</v>
      </c>
      <c r="C40" s="3">
        <v>44927</v>
      </c>
      <c r="D40" s="4">
        <v>8</v>
      </c>
      <c r="E40">
        <f t="shared" si="0"/>
        <v>0</v>
      </c>
      <c r="F40" s="1">
        <v>10</v>
      </c>
      <c r="G40" s="1">
        <f t="shared" si="1"/>
        <v>80</v>
      </c>
      <c r="H40" s="1">
        <f t="shared" si="2"/>
        <v>0</v>
      </c>
      <c r="I40" s="1">
        <f t="shared" si="3"/>
        <v>80</v>
      </c>
      <c r="R40" s="1"/>
    </row>
    <row r="41" spans="1:18" ht="25" customHeight="1" x14ac:dyDescent="0.35">
      <c r="A41" t="s">
        <v>10</v>
      </c>
      <c r="B41" t="s">
        <v>59</v>
      </c>
      <c r="C41" s="3">
        <v>44927</v>
      </c>
      <c r="D41" s="4">
        <v>8</v>
      </c>
      <c r="E41">
        <f t="shared" si="0"/>
        <v>0</v>
      </c>
      <c r="F41" s="1">
        <v>10</v>
      </c>
      <c r="G41" s="1">
        <f t="shared" si="1"/>
        <v>80</v>
      </c>
      <c r="H41" s="1">
        <f t="shared" si="2"/>
        <v>0</v>
      </c>
      <c r="I41" s="1">
        <f t="shared" si="3"/>
        <v>80</v>
      </c>
      <c r="R41" s="1"/>
    </row>
    <row r="42" spans="1:18" ht="25" customHeight="1" x14ac:dyDescent="0.35">
      <c r="A42" t="s">
        <v>11</v>
      </c>
      <c r="B42" t="s">
        <v>60</v>
      </c>
      <c r="C42" s="3">
        <v>44927</v>
      </c>
      <c r="D42" s="4">
        <v>8</v>
      </c>
      <c r="E42">
        <f t="shared" si="0"/>
        <v>0</v>
      </c>
      <c r="F42" s="1">
        <v>10</v>
      </c>
      <c r="G42" s="1">
        <f t="shared" si="1"/>
        <v>80</v>
      </c>
      <c r="H42" s="1">
        <f t="shared" si="2"/>
        <v>0</v>
      </c>
      <c r="I42" s="1">
        <f t="shared" si="3"/>
        <v>80</v>
      </c>
      <c r="R42" s="1"/>
    </row>
    <row r="43" spans="1:18" ht="25" customHeight="1" x14ac:dyDescent="0.35">
      <c r="A43" t="s">
        <v>12</v>
      </c>
      <c r="B43" t="s">
        <v>61</v>
      </c>
      <c r="C43" s="3">
        <v>44927</v>
      </c>
      <c r="D43" s="4">
        <v>8</v>
      </c>
      <c r="E43">
        <f t="shared" si="0"/>
        <v>0</v>
      </c>
      <c r="F43" s="1">
        <v>10</v>
      </c>
      <c r="G43" s="1">
        <f t="shared" si="1"/>
        <v>80</v>
      </c>
      <c r="H43" s="1">
        <f t="shared" si="2"/>
        <v>0</v>
      </c>
      <c r="I43" s="1">
        <f t="shared" si="3"/>
        <v>80</v>
      </c>
      <c r="R43" s="1"/>
    </row>
    <row r="44" spans="1:18" ht="25" customHeight="1" x14ac:dyDescent="0.35">
      <c r="A44" t="s">
        <v>13</v>
      </c>
      <c r="B44" t="s">
        <v>62</v>
      </c>
      <c r="C44" s="3">
        <v>44927</v>
      </c>
      <c r="D44" s="4">
        <v>8</v>
      </c>
      <c r="E44">
        <f t="shared" si="0"/>
        <v>0</v>
      </c>
      <c r="F44" s="1">
        <v>10</v>
      </c>
      <c r="G44" s="1">
        <f t="shared" si="1"/>
        <v>80</v>
      </c>
      <c r="H44" s="1">
        <f t="shared" si="2"/>
        <v>0</v>
      </c>
      <c r="I44" s="1">
        <f t="shared" si="3"/>
        <v>80</v>
      </c>
      <c r="R44" s="1"/>
    </row>
    <row r="45" spans="1:18" ht="25" customHeight="1" x14ac:dyDescent="0.35">
      <c r="A45" t="s">
        <v>14</v>
      </c>
      <c r="B45" t="s">
        <v>63</v>
      </c>
      <c r="C45" s="3">
        <v>44927</v>
      </c>
      <c r="D45" s="4">
        <v>8</v>
      </c>
      <c r="E45">
        <f t="shared" si="0"/>
        <v>0</v>
      </c>
      <c r="F45" s="1">
        <v>10</v>
      </c>
      <c r="G45" s="1">
        <f t="shared" si="1"/>
        <v>80</v>
      </c>
      <c r="H45" s="1">
        <f t="shared" si="2"/>
        <v>0</v>
      </c>
      <c r="I45" s="1">
        <f t="shared" si="3"/>
        <v>80</v>
      </c>
      <c r="R45" s="1"/>
    </row>
    <row r="46" spans="1:18" ht="25" customHeight="1" x14ac:dyDescent="0.35">
      <c r="A46" t="s">
        <v>15</v>
      </c>
      <c r="B46" t="s">
        <v>64</v>
      </c>
      <c r="C46" s="3">
        <v>44927</v>
      </c>
      <c r="D46" s="4">
        <v>8</v>
      </c>
      <c r="E46">
        <f t="shared" si="0"/>
        <v>0</v>
      </c>
      <c r="F46" s="1">
        <v>10</v>
      </c>
      <c r="G46" s="1">
        <f t="shared" si="1"/>
        <v>80</v>
      </c>
      <c r="H46" s="1">
        <f t="shared" si="2"/>
        <v>0</v>
      </c>
      <c r="I46" s="1">
        <f t="shared" si="3"/>
        <v>80</v>
      </c>
      <c r="R46" s="1"/>
    </row>
    <row r="47" spans="1:18" ht="25" customHeight="1" x14ac:dyDescent="0.35">
      <c r="A47" t="s">
        <v>16</v>
      </c>
      <c r="B47" t="s">
        <v>65</v>
      </c>
      <c r="C47" s="3">
        <v>44927</v>
      </c>
      <c r="D47" s="4">
        <v>8</v>
      </c>
      <c r="E47">
        <f t="shared" si="0"/>
        <v>0</v>
      </c>
      <c r="F47" s="1">
        <v>10</v>
      </c>
      <c r="G47" s="1">
        <f t="shared" si="1"/>
        <v>80</v>
      </c>
      <c r="H47" s="1">
        <f t="shared" si="2"/>
        <v>0</v>
      </c>
      <c r="I47" s="1">
        <f t="shared" si="3"/>
        <v>80</v>
      </c>
      <c r="R47" s="1"/>
    </row>
    <row r="48" spans="1:18" ht="25" customHeight="1" x14ac:dyDescent="0.35">
      <c r="A48" t="s">
        <v>17</v>
      </c>
      <c r="B48" t="s">
        <v>66</v>
      </c>
      <c r="C48" s="3">
        <v>44927</v>
      </c>
      <c r="D48" s="4">
        <v>8</v>
      </c>
      <c r="E48">
        <f t="shared" si="0"/>
        <v>0</v>
      </c>
      <c r="F48" s="1">
        <v>10</v>
      </c>
      <c r="G48" s="1">
        <f t="shared" si="1"/>
        <v>80</v>
      </c>
      <c r="H48" s="1">
        <f t="shared" si="2"/>
        <v>0</v>
      </c>
      <c r="I48" s="1">
        <f t="shared" si="3"/>
        <v>80</v>
      </c>
      <c r="R48" s="1"/>
    </row>
    <row r="49" spans="1:18" ht="25" customHeight="1" x14ac:dyDescent="0.35">
      <c r="A49" t="s">
        <v>18</v>
      </c>
      <c r="B49" t="s">
        <v>67</v>
      </c>
      <c r="C49" s="3">
        <v>44927</v>
      </c>
      <c r="D49" s="4">
        <v>8</v>
      </c>
      <c r="E49">
        <f t="shared" si="0"/>
        <v>0</v>
      </c>
      <c r="F49" s="1">
        <v>10</v>
      </c>
      <c r="G49" s="1">
        <f t="shared" si="1"/>
        <v>80</v>
      </c>
      <c r="H49" s="1">
        <f t="shared" si="2"/>
        <v>0</v>
      </c>
      <c r="I49" s="1">
        <f t="shared" si="3"/>
        <v>80</v>
      </c>
      <c r="R49" s="1"/>
    </row>
    <row r="50" spans="1:18" ht="25" customHeight="1" x14ac:dyDescent="0.35">
      <c r="A50" t="s">
        <v>19</v>
      </c>
      <c r="B50" t="s">
        <v>68</v>
      </c>
      <c r="C50" s="3">
        <v>44927</v>
      </c>
      <c r="D50" s="4">
        <v>8</v>
      </c>
      <c r="E50">
        <f t="shared" si="0"/>
        <v>0</v>
      </c>
      <c r="F50" s="1">
        <v>10</v>
      </c>
      <c r="G50" s="1">
        <f t="shared" si="1"/>
        <v>80</v>
      </c>
      <c r="H50" s="1">
        <f t="shared" si="2"/>
        <v>0</v>
      </c>
      <c r="I50" s="1">
        <f t="shared" si="3"/>
        <v>80</v>
      </c>
      <c r="R50" s="1"/>
    </row>
    <row r="51" spans="1:18" ht="25" customHeight="1" x14ac:dyDescent="0.35">
      <c r="A51" t="s">
        <v>20</v>
      </c>
      <c r="B51" t="s">
        <v>69</v>
      </c>
      <c r="C51" s="3">
        <v>44927</v>
      </c>
      <c r="D51" s="4">
        <v>8</v>
      </c>
      <c r="E51">
        <f t="shared" si="0"/>
        <v>0</v>
      </c>
      <c r="F51" s="1">
        <v>10</v>
      </c>
      <c r="G51" s="1">
        <f t="shared" si="1"/>
        <v>80</v>
      </c>
      <c r="H51" s="1">
        <f t="shared" si="2"/>
        <v>0</v>
      </c>
      <c r="I51" s="1"/>
      <c r="R51" s="1"/>
    </row>
    <row r="52" spans="1:18" ht="25" customHeight="1" x14ac:dyDescent="0.35">
      <c r="A52" t="s">
        <v>21</v>
      </c>
      <c r="B52" t="s">
        <v>70</v>
      </c>
      <c r="C52" s="3">
        <v>44927</v>
      </c>
      <c r="D52" s="4">
        <v>8</v>
      </c>
      <c r="E52">
        <f t="shared" si="0"/>
        <v>0</v>
      </c>
      <c r="F52" s="1">
        <v>10</v>
      </c>
      <c r="G52" s="1">
        <f t="shared" si="1"/>
        <v>80</v>
      </c>
      <c r="H52" s="1">
        <f t="shared" si="2"/>
        <v>0</v>
      </c>
      <c r="I52" s="1">
        <f t="shared" si="3"/>
        <v>80</v>
      </c>
      <c r="R52" s="1"/>
    </row>
    <row r="53" spans="1:18" ht="25" customHeight="1" x14ac:dyDescent="0.35">
      <c r="A53" t="s">
        <v>126</v>
      </c>
      <c r="B53" t="s">
        <v>71</v>
      </c>
      <c r="C53" s="3">
        <v>44927</v>
      </c>
      <c r="D53" s="4">
        <v>8</v>
      </c>
      <c r="E53">
        <f t="shared" si="0"/>
        <v>0</v>
      </c>
      <c r="F53" s="1">
        <v>10</v>
      </c>
      <c r="G53" s="1">
        <f t="shared" si="1"/>
        <v>80</v>
      </c>
      <c r="H53" s="1">
        <f t="shared" si="2"/>
        <v>0</v>
      </c>
      <c r="I53" s="1">
        <f t="shared" si="3"/>
        <v>80</v>
      </c>
      <c r="R53" s="1"/>
    </row>
    <row r="55" spans="1:18" ht="25" customHeight="1" x14ac:dyDescent="0.35">
      <c r="A55" t="s">
        <v>88</v>
      </c>
      <c r="D55" s="5">
        <f>MAX(D4:D53)</f>
        <v>10</v>
      </c>
      <c r="E55">
        <f>MAX(E4:E53)</f>
        <v>2</v>
      </c>
      <c r="G55" s="1">
        <f>MAX(G4:G53)</f>
        <v>100</v>
      </c>
      <c r="H55" s="1"/>
      <c r="I55" s="1">
        <f>MAX(I4:I53)</f>
        <v>130</v>
      </c>
      <c r="R55" s="1"/>
    </row>
    <row r="56" spans="1:18" ht="25" customHeight="1" x14ac:dyDescent="0.35">
      <c r="A56" t="s">
        <v>89</v>
      </c>
      <c r="D56" s="5">
        <f>MIN(D4:D53)</f>
        <v>7</v>
      </c>
      <c r="E56">
        <f>MIN(E4:E53)</f>
        <v>0</v>
      </c>
      <c r="G56" s="1">
        <f>MIN(G4:G53)</f>
        <v>70</v>
      </c>
      <c r="H56" s="5"/>
      <c r="I56" s="1">
        <f>MIN(I4:I53)</f>
        <v>70</v>
      </c>
      <c r="R56" s="5"/>
    </row>
    <row r="57" spans="1:18" ht="25" customHeight="1" x14ac:dyDescent="0.35">
      <c r="A57" t="s">
        <v>90</v>
      </c>
      <c r="D57" s="5">
        <f>SUM(D4:D53)</f>
        <v>408</v>
      </c>
      <c r="E57">
        <f>SUMIF(E4:E53,"&gt;1")</f>
        <v>14</v>
      </c>
      <c r="G57" s="1">
        <f>SUM(G4:G53)</f>
        <v>4080</v>
      </c>
      <c r="H57" s="5"/>
      <c r="I57" s="1">
        <f>SUM(I4:I53)</f>
        <v>4210</v>
      </c>
      <c r="R57" s="5"/>
    </row>
    <row r="58" spans="1:18" ht="25" customHeight="1" x14ac:dyDescent="0.35">
      <c r="A58" t="s">
        <v>91</v>
      </c>
      <c r="D58" s="5">
        <f>AVERAGE(D4:D53)</f>
        <v>8.16</v>
      </c>
      <c r="E58">
        <f>AVERAGE(E4:E53)</f>
        <v>0.28000000000000003</v>
      </c>
      <c r="G58" s="1">
        <f>AVERAGE(G4:G53)</f>
        <v>81.599999999999994</v>
      </c>
      <c r="H58" s="5"/>
      <c r="I58" s="1">
        <f>AVERAGE(I4:I53)</f>
        <v>85.91836734693878</v>
      </c>
      <c r="R58" s="5"/>
    </row>
  </sheetData>
  <autoFilter ref="A3:BI53" xr:uid="{0906C091-2EEC-4459-873D-7E091E435771}"/>
  <mergeCells count="2">
    <mergeCell ref="A1:B1"/>
    <mergeCell ref="C1:I1"/>
  </mergeCells>
  <phoneticPr fontId="2" type="noConversion"/>
  <conditionalFormatting sqref="I4:I53">
    <cfRule type="colorScale" priority="7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29A41-61DB-4D6B-AEE1-8065114EFE94}">
  <dimension ref="A1:G58"/>
  <sheetViews>
    <sheetView workbookViewId="0">
      <selection activeCell="E60" sqref="E60"/>
    </sheetView>
  </sheetViews>
  <sheetFormatPr defaultRowHeight="14.5" x14ac:dyDescent="0.35"/>
  <cols>
    <col min="1" max="1" width="10.453125" bestFit="1" customWidth="1"/>
    <col min="2" max="2" width="7.6328125" bestFit="1" customWidth="1"/>
    <col min="3" max="3" width="8.54296875" bestFit="1" customWidth="1"/>
    <col min="4" max="4" width="7.453125" bestFit="1" customWidth="1"/>
    <col min="5" max="5" width="9.90625" bestFit="1" customWidth="1"/>
    <col min="6" max="6" width="8.54296875" bestFit="1" customWidth="1"/>
    <col min="7" max="7" width="9.90625" bestFit="1" customWidth="1"/>
  </cols>
  <sheetData>
    <row r="1" spans="1:7" x14ac:dyDescent="0.35">
      <c r="A1" s="18" t="s">
        <v>76</v>
      </c>
      <c r="B1" s="18"/>
      <c r="C1" s="18"/>
      <c r="D1" s="18"/>
      <c r="E1" s="18"/>
      <c r="F1" s="18"/>
      <c r="G1" s="18"/>
    </row>
    <row r="3" spans="1:7" ht="43.5" x14ac:dyDescent="0.35">
      <c r="A3" s="9" t="s">
        <v>1</v>
      </c>
      <c r="B3" s="10" t="s">
        <v>2</v>
      </c>
      <c r="C3" s="11" t="s">
        <v>93</v>
      </c>
      <c r="D3" s="12" t="s">
        <v>75</v>
      </c>
      <c r="E3" s="13" t="s">
        <v>74</v>
      </c>
      <c r="F3" s="14" t="s">
        <v>94</v>
      </c>
      <c r="G3" s="15" t="s">
        <v>92</v>
      </c>
    </row>
    <row r="4" spans="1:7" x14ac:dyDescent="0.35">
      <c r="A4" s="3">
        <v>44928</v>
      </c>
      <c r="B4">
        <v>6</v>
      </c>
      <c r="C4">
        <f>IF(B4&gt;8,B4-8,0)</f>
        <v>0</v>
      </c>
      <c r="D4" s="1">
        <v>10</v>
      </c>
      <c r="E4" s="1">
        <f>D4*B4</f>
        <v>60</v>
      </c>
      <c r="F4" s="1">
        <f>D4*C4*1.5</f>
        <v>0</v>
      </c>
      <c r="G4" s="1">
        <f>E4+F4</f>
        <v>60</v>
      </c>
    </row>
    <row r="5" spans="1:7" x14ac:dyDescent="0.35">
      <c r="A5" s="3">
        <v>44928</v>
      </c>
      <c r="B5">
        <v>6</v>
      </c>
      <c r="C5">
        <f>IF(B5&gt;8,B5-8,0)</f>
        <v>0</v>
      </c>
      <c r="D5" s="1">
        <v>10</v>
      </c>
      <c r="E5" s="1">
        <f>D5*B5</f>
        <v>60</v>
      </c>
      <c r="F5" s="1">
        <f>D5*C5*1.5</f>
        <v>0</v>
      </c>
      <c r="G5" s="1">
        <f>E5+F5</f>
        <v>60</v>
      </c>
    </row>
    <row r="6" spans="1:7" x14ac:dyDescent="0.35">
      <c r="A6" s="3">
        <v>44928</v>
      </c>
      <c r="B6">
        <v>6</v>
      </c>
      <c r="C6">
        <f>IF(B6&gt;8,B6-8,0)</f>
        <v>0</v>
      </c>
      <c r="D6" s="1">
        <v>10</v>
      </c>
      <c r="E6" s="1">
        <f>D6*B6</f>
        <v>60</v>
      </c>
      <c r="F6" s="1">
        <f>D6*C6*1.5</f>
        <v>0</v>
      </c>
      <c r="G6" s="1">
        <f>E6+F6</f>
        <v>60</v>
      </c>
    </row>
    <row r="7" spans="1:7" x14ac:dyDescent="0.35">
      <c r="A7" s="3">
        <v>44928</v>
      </c>
      <c r="B7">
        <v>6</v>
      </c>
      <c r="C7">
        <f>IF(B7&gt;8,B7-8,0)</f>
        <v>0</v>
      </c>
      <c r="D7" s="1">
        <v>10</v>
      </c>
      <c r="E7" s="1">
        <f>D7*B7</f>
        <v>60</v>
      </c>
      <c r="F7" s="1">
        <f>D7*C7*1.5</f>
        <v>0</v>
      </c>
      <c r="G7" s="1">
        <f>E7+F7</f>
        <v>60</v>
      </c>
    </row>
    <row r="8" spans="1:7" x14ac:dyDescent="0.35">
      <c r="A8" s="3">
        <v>44928</v>
      </c>
      <c r="B8">
        <v>6</v>
      </c>
      <c r="C8">
        <f>IF(B8&gt;8,B8-8,0)</f>
        <v>0</v>
      </c>
      <c r="D8" s="1">
        <v>10</v>
      </c>
      <c r="E8" s="1">
        <f>D8*B8</f>
        <v>60</v>
      </c>
      <c r="F8" s="1">
        <f>D8*C8*1.5</f>
        <v>0</v>
      </c>
      <c r="G8" s="1">
        <f>E8+F8</f>
        <v>60</v>
      </c>
    </row>
    <row r="9" spans="1:7" x14ac:dyDescent="0.35">
      <c r="A9" s="3">
        <v>44928</v>
      </c>
      <c r="B9">
        <v>6</v>
      </c>
      <c r="C9">
        <f>IF(B9&gt;8,B9-8,0)</f>
        <v>0</v>
      </c>
      <c r="D9" s="1">
        <v>10</v>
      </c>
      <c r="E9" s="1">
        <f>D9*B9</f>
        <v>60</v>
      </c>
      <c r="F9" s="1">
        <f>D9*C9*1.5</f>
        <v>0</v>
      </c>
      <c r="G9" s="1">
        <f>E9+F9</f>
        <v>60</v>
      </c>
    </row>
    <row r="10" spans="1:7" x14ac:dyDescent="0.35">
      <c r="A10" s="3">
        <v>44928</v>
      </c>
      <c r="B10">
        <v>6</v>
      </c>
      <c r="C10">
        <f>IF(B10&gt;8,B10-8,0)</f>
        <v>0</v>
      </c>
      <c r="D10" s="1">
        <v>10</v>
      </c>
      <c r="E10" s="1">
        <f>D10*B10</f>
        <v>60</v>
      </c>
      <c r="F10" s="1">
        <f>D10*C10*1.5</f>
        <v>0</v>
      </c>
      <c r="G10" s="1">
        <f>E10+F10</f>
        <v>60</v>
      </c>
    </row>
    <row r="11" spans="1:7" x14ac:dyDescent="0.35">
      <c r="A11" s="3">
        <v>44928</v>
      </c>
      <c r="B11">
        <v>6</v>
      </c>
      <c r="C11">
        <f>IF(B11&gt;8,B11-8,0)</f>
        <v>0</v>
      </c>
      <c r="D11" s="1">
        <v>10</v>
      </c>
      <c r="E11" s="1">
        <f>D11*B11</f>
        <v>60</v>
      </c>
      <c r="F11" s="1">
        <f>D11*C11*1.5</f>
        <v>0</v>
      </c>
      <c r="G11" s="1">
        <f>E11+F11</f>
        <v>60</v>
      </c>
    </row>
    <row r="12" spans="1:7" x14ac:dyDescent="0.35">
      <c r="A12" s="3">
        <v>44928</v>
      </c>
      <c r="B12">
        <v>6</v>
      </c>
      <c r="C12">
        <f>IF(B12&gt;8,B12-8,0)</f>
        <v>0</v>
      </c>
      <c r="D12" s="1">
        <v>10</v>
      </c>
      <c r="E12" s="1">
        <f>D12*B12</f>
        <v>60</v>
      </c>
      <c r="F12" s="1">
        <f>D12*C12*1.5</f>
        <v>0</v>
      </c>
      <c r="G12" s="1">
        <f>E12+F12</f>
        <v>60</v>
      </c>
    </row>
    <row r="13" spans="1:7" x14ac:dyDescent="0.35">
      <c r="A13" s="3">
        <v>44928</v>
      </c>
      <c r="B13">
        <v>6</v>
      </c>
      <c r="C13">
        <f>IF(B13&gt;8,B13-8,0)</f>
        <v>0</v>
      </c>
      <c r="D13" s="1">
        <v>10</v>
      </c>
      <c r="E13" s="1">
        <f>D13*B13</f>
        <v>60</v>
      </c>
      <c r="F13" s="1">
        <f>D13*C13*1.5</f>
        <v>0</v>
      </c>
      <c r="G13" s="1">
        <f>E13+F13</f>
        <v>60</v>
      </c>
    </row>
    <row r="14" spans="1:7" x14ac:dyDescent="0.35">
      <c r="A14" s="3">
        <v>44928</v>
      </c>
      <c r="B14">
        <v>7</v>
      </c>
      <c r="C14">
        <f>IF(B14&gt;8,B14-8,0)</f>
        <v>0</v>
      </c>
      <c r="D14" s="1">
        <v>10</v>
      </c>
      <c r="E14" s="1">
        <f>D14*B14</f>
        <v>70</v>
      </c>
      <c r="F14" s="1">
        <f>D14*C14*1.5</f>
        <v>0</v>
      </c>
      <c r="G14" s="1">
        <f>E14+F14</f>
        <v>70</v>
      </c>
    </row>
    <row r="15" spans="1:7" x14ac:dyDescent="0.35">
      <c r="A15" s="3">
        <v>44928</v>
      </c>
      <c r="B15">
        <v>7</v>
      </c>
      <c r="C15">
        <f>IF(B15&gt;8,B15-8,0)</f>
        <v>0</v>
      </c>
      <c r="D15" s="1">
        <v>10</v>
      </c>
      <c r="E15" s="1">
        <f>D15*B15</f>
        <v>70</v>
      </c>
      <c r="F15" s="1">
        <f>D15*C15*1.5</f>
        <v>0</v>
      </c>
      <c r="G15" s="1">
        <f>E15+F15</f>
        <v>70</v>
      </c>
    </row>
    <row r="16" spans="1:7" x14ac:dyDescent="0.35">
      <c r="A16" s="3">
        <v>44928</v>
      </c>
      <c r="B16">
        <v>7</v>
      </c>
      <c r="C16">
        <f>IF(B16&gt;8,B16-8,0)</f>
        <v>0</v>
      </c>
      <c r="D16" s="1">
        <v>10</v>
      </c>
      <c r="E16" s="1">
        <f>D16*B16</f>
        <v>70</v>
      </c>
      <c r="F16" s="1">
        <f>D16*C16*1.5</f>
        <v>0</v>
      </c>
      <c r="G16" s="1">
        <f>E16+F16</f>
        <v>70</v>
      </c>
    </row>
    <row r="17" spans="1:7" x14ac:dyDescent="0.35">
      <c r="A17" s="3">
        <v>44928</v>
      </c>
      <c r="B17">
        <v>7</v>
      </c>
      <c r="C17">
        <f>IF(B17&gt;8,B17-8,0)</f>
        <v>0</v>
      </c>
      <c r="D17" s="1">
        <v>10</v>
      </c>
      <c r="E17" s="1">
        <f>D17*B17</f>
        <v>70</v>
      </c>
      <c r="F17" s="1">
        <f>D17*C17*1.5</f>
        <v>0</v>
      </c>
      <c r="G17" s="1">
        <f>E17+F17</f>
        <v>70</v>
      </c>
    </row>
    <row r="18" spans="1:7" x14ac:dyDescent="0.35">
      <c r="A18" s="3">
        <v>44928</v>
      </c>
      <c r="B18">
        <v>7</v>
      </c>
      <c r="C18">
        <f>IF(B18&gt;8,B18-8,0)</f>
        <v>0</v>
      </c>
      <c r="D18" s="1">
        <v>10</v>
      </c>
      <c r="E18" s="1">
        <f>D18*B18</f>
        <v>70</v>
      </c>
      <c r="F18" s="1">
        <f>D18*C18*1.5</f>
        <v>0</v>
      </c>
      <c r="G18" s="1">
        <f>E18+F18</f>
        <v>70</v>
      </c>
    </row>
    <row r="19" spans="1:7" x14ac:dyDescent="0.35">
      <c r="A19" s="3">
        <v>44928</v>
      </c>
      <c r="B19">
        <v>7</v>
      </c>
      <c r="C19">
        <f>IF(B19&gt;8,B19-8,0)</f>
        <v>0</v>
      </c>
      <c r="D19" s="1">
        <v>10</v>
      </c>
      <c r="E19" s="1">
        <f>D19*B19</f>
        <v>70</v>
      </c>
      <c r="F19" s="1">
        <f>D19*C19*1.5</f>
        <v>0</v>
      </c>
      <c r="G19" s="1">
        <f>E19+F19</f>
        <v>70</v>
      </c>
    </row>
    <row r="20" spans="1:7" x14ac:dyDescent="0.35">
      <c r="A20" s="3">
        <v>44928</v>
      </c>
      <c r="B20">
        <v>7</v>
      </c>
      <c r="C20">
        <f>IF(B20&gt;8,B20-8,0)</f>
        <v>0</v>
      </c>
      <c r="D20" s="1">
        <v>10</v>
      </c>
      <c r="E20" s="1">
        <f>D20*B20</f>
        <v>70</v>
      </c>
      <c r="F20" s="1">
        <f>D20*C20*1.5</f>
        <v>0</v>
      </c>
      <c r="G20" s="1">
        <f>E20+F20</f>
        <v>70</v>
      </c>
    </row>
    <row r="21" spans="1:7" x14ac:dyDescent="0.35">
      <c r="A21" s="3">
        <v>44928</v>
      </c>
      <c r="B21">
        <v>7</v>
      </c>
      <c r="C21">
        <f>IF(B21&gt;8,B21-8,0)</f>
        <v>0</v>
      </c>
      <c r="D21" s="1">
        <v>10</v>
      </c>
      <c r="E21" s="1">
        <f>D21*B21</f>
        <v>70</v>
      </c>
      <c r="F21" s="1">
        <f>D21*C21*1.5</f>
        <v>0</v>
      </c>
      <c r="G21" s="1">
        <f>E21+F21</f>
        <v>70</v>
      </c>
    </row>
    <row r="22" spans="1:7" x14ac:dyDescent="0.35">
      <c r="A22" s="3">
        <v>44928</v>
      </c>
      <c r="B22">
        <v>7</v>
      </c>
      <c r="C22">
        <f>IF(B22&gt;8,B22-8,0)</f>
        <v>0</v>
      </c>
      <c r="D22" s="1">
        <v>10</v>
      </c>
      <c r="E22" s="1">
        <f>D22*B22</f>
        <v>70</v>
      </c>
      <c r="F22" s="1">
        <f>D22*C22*1.5</f>
        <v>0</v>
      </c>
      <c r="G22" s="1">
        <f>E22+F22</f>
        <v>70</v>
      </c>
    </row>
    <row r="23" spans="1:7" x14ac:dyDescent="0.35">
      <c r="A23" s="3">
        <v>44928</v>
      </c>
      <c r="B23">
        <v>9</v>
      </c>
      <c r="C23">
        <f>IF(B23&gt;8,B23-8,0)</f>
        <v>1</v>
      </c>
      <c r="D23" s="1">
        <v>10</v>
      </c>
      <c r="E23" s="1">
        <f>D23*B23</f>
        <v>90</v>
      </c>
      <c r="F23" s="1">
        <f>D23*C23*1.5</f>
        <v>15</v>
      </c>
      <c r="G23" s="1">
        <f>E23+F23</f>
        <v>105</v>
      </c>
    </row>
    <row r="24" spans="1:7" x14ac:dyDescent="0.35">
      <c r="A24" s="3">
        <v>44928</v>
      </c>
      <c r="B24">
        <v>9</v>
      </c>
      <c r="C24">
        <f>IF(B24&gt;8,B24-8,0)</f>
        <v>1</v>
      </c>
      <c r="D24" s="1">
        <v>10</v>
      </c>
      <c r="E24" s="1">
        <f>D24*B24</f>
        <v>90</v>
      </c>
      <c r="F24" s="1">
        <f>D24*C24*1.5</f>
        <v>15</v>
      </c>
      <c r="G24" s="1">
        <f>E24+F24</f>
        <v>105</v>
      </c>
    </row>
    <row r="25" spans="1:7" x14ac:dyDescent="0.35">
      <c r="A25" s="3">
        <v>44928</v>
      </c>
      <c r="B25">
        <v>9</v>
      </c>
      <c r="C25">
        <f>IF(B25&gt;8,B25-8,0)</f>
        <v>1</v>
      </c>
      <c r="D25" s="1">
        <v>10</v>
      </c>
      <c r="E25" s="1">
        <f>D25*B25</f>
        <v>90</v>
      </c>
      <c r="F25" s="1">
        <f>D25*C25*1.5</f>
        <v>15</v>
      </c>
      <c r="G25" s="1">
        <f>E25+F25</f>
        <v>105</v>
      </c>
    </row>
    <row r="26" spans="1:7" x14ac:dyDescent="0.35">
      <c r="A26" s="3">
        <v>44928</v>
      </c>
      <c r="B26">
        <v>9</v>
      </c>
      <c r="C26">
        <f>IF(B26&gt;8,B26-8,0)</f>
        <v>1</v>
      </c>
      <c r="D26" s="1">
        <v>10</v>
      </c>
      <c r="E26" s="1">
        <f>D26*B26</f>
        <v>90</v>
      </c>
      <c r="F26" s="1">
        <f>D26*C26*1.5</f>
        <v>15</v>
      </c>
      <c r="G26" s="1">
        <f>E26+F26</f>
        <v>105</v>
      </c>
    </row>
    <row r="27" spans="1:7" x14ac:dyDescent="0.35">
      <c r="A27" s="3">
        <v>44928</v>
      </c>
      <c r="B27">
        <v>9</v>
      </c>
      <c r="C27">
        <f>IF(B27&gt;8,B27-8,0)</f>
        <v>1</v>
      </c>
      <c r="D27" s="1">
        <v>10</v>
      </c>
      <c r="E27" s="1">
        <f>D27*B27</f>
        <v>90</v>
      </c>
      <c r="F27" s="1">
        <f>D27*C27*1.5</f>
        <v>15</v>
      </c>
      <c r="G27" s="1">
        <f>E27+F27</f>
        <v>105</v>
      </c>
    </row>
    <row r="28" spans="1:7" x14ac:dyDescent="0.35">
      <c r="A28" s="3">
        <v>44928</v>
      </c>
      <c r="B28">
        <v>9</v>
      </c>
      <c r="C28">
        <f>IF(B28&gt;8,B28-8,0)</f>
        <v>1</v>
      </c>
      <c r="D28" s="1">
        <v>10</v>
      </c>
      <c r="E28" s="1">
        <f>D28*B28</f>
        <v>90</v>
      </c>
      <c r="F28" s="1">
        <f>D28*C28*1.5</f>
        <v>15</v>
      </c>
      <c r="G28" s="1">
        <f>E28+F28</f>
        <v>105</v>
      </c>
    </row>
    <row r="29" spans="1:7" x14ac:dyDescent="0.35">
      <c r="A29" s="3">
        <v>44928</v>
      </c>
      <c r="B29">
        <v>9</v>
      </c>
      <c r="C29">
        <f>IF(B29&gt;8,B29-8,0)</f>
        <v>1</v>
      </c>
      <c r="D29" s="1">
        <v>10</v>
      </c>
      <c r="E29" s="1">
        <f>D29*B29</f>
        <v>90</v>
      </c>
      <c r="F29" s="1">
        <f>D29*C29*1.5</f>
        <v>15</v>
      </c>
      <c r="G29" s="1">
        <f>E29+F29</f>
        <v>105</v>
      </c>
    </row>
    <row r="30" spans="1:7" x14ac:dyDescent="0.35">
      <c r="A30" s="3">
        <v>44928</v>
      </c>
      <c r="B30">
        <v>9</v>
      </c>
      <c r="C30">
        <f>IF(B30&gt;8,B30-8,0)</f>
        <v>1</v>
      </c>
      <c r="D30" s="1">
        <v>10</v>
      </c>
      <c r="E30" s="1">
        <f>D30*B30</f>
        <v>90</v>
      </c>
      <c r="F30" s="1">
        <f>D30*C30*1.5</f>
        <v>15</v>
      </c>
      <c r="G30" s="1">
        <f>E30+F30</f>
        <v>105</v>
      </c>
    </row>
    <row r="31" spans="1:7" x14ac:dyDescent="0.35">
      <c r="A31" s="3">
        <v>44928</v>
      </c>
      <c r="B31">
        <v>9</v>
      </c>
      <c r="C31">
        <f>IF(B31&gt;8,B31-8,0)</f>
        <v>1</v>
      </c>
      <c r="D31" s="1">
        <v>10</v>
      </c>
      <c r="E31" s="1">
        <f>D31*B31</f>
        <v>90</v>
      </c>
      <c r="F31" s="1">
        <f>D31*C31*1.5</f>
        <v>15</v>
      </c>
      <c r="G31" s="1">
        <f>E31+F31</f>
        <v>105</v>
      </c>
    </row>
    <row r="32" spans="1:7" x14ac:dyDescent="0.35">
      <c r="A32" s="3">
        <v>44928</v>
      </c>
      <c r="B32">
        <v>9</v>
      </c>
      <c r="C32">
        <f>IF(B32&gt;8,B32-8,0)</f>
        <v>1</v>
      </c>
      <c r="D32" s="1">
        <v>10</v>
      </c>
      <c r="E32" s="1">
        <f>D32*B32</f>
        <v>90</v>
      </c>
      <c r="F32" s="1">
        <f>D32*C32*1.5</f>
        <v>15</v>
      </c>
      <c r="G32" s="1">
        <f>E32+F32</f>
        <v>105</v>
      </c>
    </row>
    <row r="33" spans="1:7" x14ac:dyDescent="0.35">
      <c r="A33" s="3">
        <v>44928</v>
      </c>
      <c r="B33">
        <v>9</v>
      </c>
      <c r="C33">
        <f>IF(B33&gt;8,B33-8,0)</f>
        <v>1</v>
      </c>
      <c r="D33" s="1">
        <v>10</v>
      </c>
      <c r="E33" s="1">
        <f>D33*B33</f>
        <v>90</v>
      </c>
      <c r="F33" s="1">
        <f>D33*C33*1.5</f>
        <v>15</v>
      </c>
      <c r="G33" s="1">
        <f>E33+F33</f>
        <v>105</v>
      </c>
    </row>
    <row r="34" spans="1:7" x14ac:dyDescent="0.35">
      <c r="A34" s="3">
        <v>44928</v>
      </c>
      <c r="B34">
        <v>8</v>
      </c>
      <c r="C34">
        <f>IF(B34&gt;8,B34-8,0)</f>
        <v>0</v>
      </c>
      <c r="D34" s="1">
        <v>10</v>
      </c>
      <c r="E34" s="1">
        <f>D34*B34</f>
        <v>80</v>
      </c>
      <c r="F34" s="1">
        <f>D34*C34*1.5</f>
        <v>0</v>
      </c>
      <c r="G34" s="1">
        <f>E34+F34</f>
        <v>80</v>
      </c>
    </row>
    <row r="35" spans="1:7" x14ac:dyDescent="0.35">
      <c r="A35" s="3">
        <v>44928</v>
      </c>
      <c r="B35">
        <v>8</v>
      </c>
      <c r="C35">
        <f>IF(B35&gt;8,B35-8,0)</f>
        <v>0</v>
      </c>
      <c r="D35" s="1">
        <v>10</v>
      </c>
      <c r="E35" s="1">
        <f>D35*B35</f>
        <v>80</v>
      </c>
      <c r="F35" s="1">
        <f>D35*C35*1.5</f>
        <v>0</v>
      </c>
      <c r="G35" s="1">
        <f>E35+F35</f>
        <v>80</v>
      </c>
    </row>
    <row r="36" spans="1:7" x14ac:dyDescent="0.35">
      <c r="A36" s="3">
        <v>44928</v>
      </c>
      <c r="B36">
        <v>8</v>
      </c>
      <c r="C36">
        <f>IF(B36&gt;8,B36-8,0)</f>
        <v>0</v>
      </c>
      <c r="D36" s="1">
        <v>10</v>
      </c>
      <c r="E36" s="1">
        <f>D36*B36</f>
        <v>80</v>
      </c>
      <c r="F36" s="1">
        <f>D36*C36*1.5</f>
        <v>0</v>
      </c>
      <c r="G36" s="1">
        <f>E36+F36</f>
        <v>80</v>
      </c>
    </row>
    <row r="37" spans="1:7" x14ac:dyDescent="0.35">
      <c r="A37" s="3">
        <v>44928</v>
      </c>
      <c r="B37">
        <v>8</v>
      </c>
      <c r="C37">
        <f>IF(B37&gt;8,B37-8,0)</f>
        <v>0</v>
      </c>
      <c r="D37" s="1">
        <v>10</v>
      </c>
      <c r="E37" s="1">
        <f>D37*B37</f>
        <v>80</v>
      </c>
      <c r="F37" s="1">
        <f>D37*C37*1.5</f>
        <v>0</v>
      </c>
      <c r="G37" s="1">
        <f>E37+F37</f>
        <v>80</v>
      </c>
    </row>
    <row r="38" spans="1:7" x14ac:dyDescent="0.35">
      <c r="A38" s="3">
        <v>44928</v>
      </c>
      <c r="B38">
        <v>8</v>
      </c>
      <c r="C38">
        <f>IF(B38&gt;8,B38-8,0)</f>
        <v>0</v>
      </c>
      <c r="D38" s="1">
        <v>10</v>
      </c>
      <c r="E38" s="1">
        <f>D38*B38</f>
        <v>80</v>
      </c>
      <c r="F38" s="1">
        <f>D38*C38*1.5</f>
        <v>0</v>
      </c>
      <c r="G38" s="1">
        <f>E38+F38</f>
        <v>80</v>
      </c>
    </row>
    <row r="39" spans="1:7" x14ac:dyDescent="0.35">
      <c r="A39" s="3">
        <v>44928</v>
      </c>
      <c r="B39">
        <v>8</v>
      </c>
      <c r="C39">
        <f>IF(B39&gt;8,B39-8,0)</f>
        <v>0</v>
      </c>
      <c r="D39" s="1">
        <v>10</v>
      </c>
      <c r="E39" s="1">
        <f>D39*B39</f>
        <v>80</v>
      </c>
      <c r="F39" s="1">
        <f>D39*C39*1.5</f>
        <v>0</v>
      </c>
      <c r="G39" s="1">
        <f>E39+F39</f>
        <v>80</v>
      </c>
    </row>
    <row r="40" spans="1:7" x14ac:dyDescent="0.35">
      <c r="A40" s="3">
        <v>44928</v>
      </c>
      <c r="B40">
        <v>8</v>
      </c>
      <c r="C40">
        <f>IF(B40&gt;8,B40-8,0)</f>
        <v>0</v>
      </c>
      <c r="D40" s="1">
        <v>10</v>
      </c>
      <c r="E40" s="1">
        <f>D40*B40</f>
        <v>80</v>
      </c>
      <c r="F40" s="1">
        <f>D40*C40*1.5</f>
        <v>0</v>
      </c>
      <c r="G40" s="1">
        <f>E40+F40</f>
        <v>80</v>
      </c>
    </row>
    <row r="41" spans="1:7" x14ac:dyDescent="0.35">
      <c r="A41" s="3">
        <v>44928</v>
      </c>
      <c r="B41">
        <v>8</v>
      </c>
      <c r="C41">
        <f>IF(B41&gt;8,B41-8,0)</f>
        <v>0</v>
      </c>
      <c r="D41" s="1">
        <v>10</v>
      </c>
      <c r="E41" s="1">
        <f>D41*B41</f>
        <v>80</v>
      </c>
      <c r="F41" s="1">
        <f>D41*C41*1.5</f>
        <v>0</v>
      </c>
      <c r="G41" s="1">
        <f>E41+F41</f>
        <v>80</v>
      </c>
    </row>
    <row r="42" spans="1:7" x14ac:dyDescent="0.35">
      <c r="A42" s="3">
        <v>44928</v>
      </c>
      <c r="B42">
        <v>8</v>
      </c>
      <c r="C42">
        <f>IF(B42&gt;8,B42-8,0)</f>
        <v>0</v>
      </c>
      <c r="D42" s="1">
        <v>10</v>
      </c>
      <c r="E42" s="1">
        <f>D42*B42</f>
        <v>80</v>
      </c>
      <c r="F42" s="1">
        <f>D42*C42*1.5</f>
        <v>0</v>
      </c>
      <c r="G42" s="1">
        <f>E42+F42</f>
        <v>80</v>
      </c>
    </row>
    <row r="43" spans="1:7" x14ac:dyDescent="0.35">
      <c r="A43" s="3">
        <v>44928</v>
      </c>
      <c r="B43">
        <v>8</v>
      </c>
      <c r="C43">
        <f>IF(B43&gt;8,B43-8,0)</f>
        <v>0</v>
      </c>
      <c r="D43" s="1">
        <v>10</v>
      </c>
      <c r="E43" s="1">
        <f>D43*B43</f>
        <v>80</v>
      </c>
      <c r="F43" s="1">
        <f>D43*C43*1.5</f>
        <v>0</v>
      </c>
      <c r="G43" s="1">
        <f>E43+F43</f>
        <v>80</v>
      </c>
    </row>
    <row r="44" spans="1:7" x14ac:dyDescent="0.35">
      <c r="A44" s="3">
        <v>44928</v>
      </c>
      <c r="B44">
        <v>8</v>
      </c>
      <c r="C44">
        <f>IF(B44&gt;8,B44-8,0)</f>
        <v>0</v>
      </c>
      <c r="D44" s="1">
        <v>10</v>
      </c>
      <c r="E44" s="1">
        <f>D44*B44</f>
        <v>80</v>
      </c>
      <c r="F44" s="1">
        <f>D44*C44*1.5</f>
        <v>0</v>
      </c>
      <c r="G44" s="1">
        <f>E44+F44</f>
        <v>80</v>
      </c>
    </row>
    <row r="45" spans="1:7" x14ac:dyDescent="0.35">
      <c r="A45" s="3">
        <v>44928</v>
      </c>
      <c r="B45">
        <v>8</v>
      </c>
      <c r="C45">
        <f>IF(B45&gt;8,B45-8,0)</f>
        <v>0</v>
      </c>
      <c r="D45" s="1">
        <v>10</v>
      </c>
      <c r="E45" s="1">
        <f>D45*B45</f>
        <v>80</v>
      </c>
      <c r="F45" s="1">
        <f>D45*C45*1.5</f>
        <v>0</v>
      </c>
      <c r="G45" s="1">
        <f>E45+F45</f>
        <v>80</v>
      </c>
    </row>
    <row r="46" spans="1:7" x14ac:dyDescent="0.35">
      <c r="A46" s="3">
        <v>44928</v>
      </c>
      <c r="B46">
        <v>9</v>
      </c>
      <c r="C46">
        <f>IF(B46&gt;8,B46-8,0)</f>
        <v>1</v>
      </c>
      <c r="D46" s="1">
        <v>10</v>
      </c>
      <c r="E46" s="1">
        <f>D46*B46</f>
        <v>90</v>
      </c>
      <c r="F46" s="1">
        <f>D46*C46*1.5</f>
        <v>15</v>
      </c>
      <c r="G46" s="1">
        <f>E46+F46</f>
        <v>105</v>
      </c>
    </row>
    <row r="47" spans="1:7" x14ac:dyDescent="0.35">
      <c r="A47" s="3">
        <v>44928</v>
      </c>
      <c r="B47">
        <v>9</v>
      </c>
      <c r="C47">
        <f>IF(B47&gt;8,B47-8,0)</f>
        <v>1</v>
      </c>
      <c r="D47" s="1">
        <v>10</v>
      </c>
      <c r="E47" s="1">
        <f>D47*B47</f>
        <v>90</v>
      </c>
      <c r="F47" s="1">
        <f>D47*C47*1.5</f>
        <v>15</v>
      </c>
      <c r="G47" s="1">
        <f>E47+F47</f>
        <v>105</v>
      </c>
    </row>
    <row r="48" spans="1:7" x14ac:dyDescent="0.35">
      <c r="A48" s="3">
        <v>44928</v>
      </c>
      <c r="B48">
        <v>9</v>
      </c>
      <c r="C48">
        <f>IF(B48&gt;8,B48-8,0)</f>
        <v>1</v>
      </c>
      <c r="D48" s="1">
        <v>10</v>
      </c>
      <c r="E48" s="1">
        <f>D48*B48</f>
        <v>90</v>
      </c>
      <c r="F48" s="1">
        <f>D48*C48*1.5</f>
        <v>15</v>
      </c>
      <c r="G48" s="1">
        <f>E48+F48</f>
        <v>105</v>
      </c>
    </row>
    <row r="49" spans="1:7" x14ac:dyDescent="0.35">
      <c r="A49" s="3">
        <v>44928</v>
      </c>
      <c r="B49">
        <v>9</v>
      </c>
      <c r="C49">
        <f>IF(B49&gt;8,B49-8,0)</f>
        <v>1</v>
      </c>
      <c r="D49" s="1">
        <v>10</v>
      </c>
      <c r="E49" s="1">
        <f>D49*B49</f>
        <v>90</v>
      </c>
      <c r="F49" s="1">
        <f>D49*C49*1.5</f>
        <v>15</v>
      </c>
      <c r="G49" s="1">
        <f>E49+F49</f>
        <v>105</v>
      </c>
    </row>
    <row r="50" spans="1:7" x14ac:dyDescent="0.35">
      <c r="A50" s="3">
        <v>44928</v>
      </c>
      <c r="B50">
        <v>9</v>
      </c>
      <c r="C50">
        <f>IF(B50&gt;8,B50-8,0)</f>
        <v>1</v>
      </c>
      <c r="D50" s="1">
        <v>10</v>
      </c>
      <c r="E50" s="1">
        <f>D50*B50</f>
        <v>90</v>
      </c>
      <c r="F50" s="1">
        <f>D50*C50*1.5</f>
        <v>15</v>
      </c>
      <c r="G50" s="1">
        <f>E50+F50</f>
        <v>105</v>
      </c>
    </row>
    <row r="51" spans="1:7" x14ac:dyDescent="0.35">
      <c r="A51" s="3">
        <v>44928</v>
      </c>
      <c r="B51">
        <v>9</v>
      </c>
      <c r="C51">
        <f>IF(B51&gt;8,B51-8,0)</f>
        <v>1</v>
      </c>
      <c r="D51" s="1">
        <v>10</v>
      </c>
      <c r="E51" s="1">
        <f>D51*B51</f>
        <v>90</v>
      </c>
      <c r="F51" s="1">
        <f>D51*C51*1.5</f>
        <v>15</v>
      </c>
      <c r="G51" s="1">
        <f>E51+F51</f>
        <v>105</v>
      </c>
    </row>
    <row r="52" spans="1:7" x14ac:dyDescent="0.35">
      <c r="A52" s="3">
        <v>44928</v>
      </c>
      <c r="B52">
        <v>9</v>
      </c>
      <c r="C52">
        <f>IF(B52&gt;8,B52-8,0)</f>
        <v>1</v>
      </c>
      <c r="D52" s="1">
        <v>10</v>
      </c>
      <c r="E52" s="1">
        <f>D52*B52</f>
        <v>90</v>
      </c>
      <c r="F52" s="1">
        <f>D52*C52*1.5</f>
        <v>15</v>
      </c>
      <c r="G52" s="1">
        <f>E52+F52</f>
        <v>105</v>
      </c>
    </row>
    <row r="53" spans="1:7" x14ac:dyDescent="0.35">
      <c r="A53" s="3">
        <v>44928</v>
      </c>
      <c r="B53">
        <v>9</v>
      </c>
      <c r="C53">
        <f>IF(B53&gt;8,B53-8,0)</f>
        <v>1</v>
      </c>
      <c r="D53" s="1">
        <v>10</v>
      </c>
      <c r="E53" s="1">
        <f>D53*B53</f>
        <v>90</v>
      </c>
      <c r="F53" s="1">
        <f>D53*C53*1.5</f>
        <v>15</v>
      </c>
      <c r="G53" s="1">
        <f>E53+F53</f>
        <v>105</v>
      </c>
    </row>
    <row r="55" spans="1:7" x14ac:dyDescent="0.35">
      <c r="A55" t="s">
        <v>88</v>
      </c>
      <c r="B55" s="5">
        <f>MAX(B4:B53)</f>
        <v>9</v>
      </c>
      <c r="C55">
        <f>MAX(C4:C53)</f>
        <v>1</v>
      </c>
      <c r="E55" s="1">
        <f>MAX(E4:E53)</f>
        <v>90</v>
      </c>
      <c r="F55" s="1"/>
      <c r="G55" s="1">
        <f>MAX(G4:G53)</f>
        <v>105</v>
      </c>
    </row>
    <row r="56" spans="1:7" x14ac:dyDescent="0.35">
      <c r="A56" t="s">
        <v>89</v>
      </c>
      <c r="B56" s="5">
        <f>MIN(B4:B53)</f>
        <v>6</v>
      </c>
      <c r="C56">
        <f>MIN(C4:C53)</f>
        <v>0</v>
      </c>
      <c r="E56" s="1">
        <f>MIN(E4:E53)</f>
        <v>60</v>
      </c>
      <c r="F56" s="5"/>
      <c r="G56" s="1">
        <f>MIN(G4:G53)</f>
        <v>60</v>
      </c>
    </row>
    <row r="57" spans="1:7" x14ac:dyDescent="0.35">
      <c r="A57" t="s">
        <v>90</v>
      </c>
      <c r="B57" s="5">
        <f>SUM(B4:B53)</f>
        <v>390</v>
      </c>
      <c r="C57">
        <f>SUMIF(C4:C53,"&gt;1")</f>
        <v>0</v>
      </c>
      <c r="E57" s="1">
        <f>SUM(E4:E53)</f>
        <v>3900</v>
      </c>
      <c r="F57" s="5"/>
      <c r="G57" s="1">
        <f>SUM(G4:G53)</f>
        <v>4185</v>
      </c>
    </row>
    <row r="58" spans="1:7" x14ac:dyDescent="0.35">
      <c r="A58" t="s">
        <v>91</v>
      </c>
      <c r="B58" s="5">
        <f>AVERAGE(B4:B53)</f>
        <v>7.8</v>
      </c>
      <c r="C58">
        <f>AVERAGE(C4:C53)</f>
        <v>0.38</v>
      </c>
      <c r="E58" s="1">
        <f>AVERAGE(E4:E53)</f>
        <v>78</v>
      </c>
      <c r="F58" s="5"/>
      <c r="G58" s="1">
        <f>AVERAGE(G4:G53)</f>
        <v>83.7</v>
      </c>
    </row>
  </sheetData>
  <mergeCells count="1">
    <mergeCell ref="A1:G1"/>
  </mergeCells>
  <conditionalFormatting sqref="G4:G53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E6A8E-8663-4235-8B30-AC4BD7453B75}">
  <dimension ref="A1:G58"/>
  <sheetViews>
    <sheetView topLeftCell="A51" workbookViewId="0">
      <selection activeCell="A55" sqref="A55"/>
    </sheetView>
  </sheetViews>
  <sheetFormatPr defaultRowHeight="14.5" x14ac:dyDescent="0.35"/>
  <cols>
    <col min="1" max="1" width="10.453125" bestFit="1" customWidth="1"/>
    <col min="2" max="2" width="7.6328125" bestFit="1" customWidth="1"/>
    <col min="3" max="3" width="8.54296875" bestFit="1" customWidth="1"/>
    <col min="4" max="4" width="7.453125" bestFit="1" customWidth="1"/>
    <col min="5" max="5" width="9.90625" bestFit="1" customWidth="1"/>
    <col min="6" max="6" width="8.54296875" bestFit="1" customWidth="1"/>
    <col min="7" max="7" width="9.90625" bestFit="1" customWidth="1"/>
  </cols>
  <sheetData>
    <row r="1" spans="1:7" x14ac:dyDescent="0.35">
      <c r="A1" s="18" t="s">
        <v>77</v>
      </c>
      <c r="B1" s="18"/>
      <c r="C1" s="18"/>
      <c r="D1" s="18"/>
      <c r="E1" s="18"/>
      <c r="F1" s="18"/>
      <c r="G1" s="18"/>
    </row>
    <row r="3" spans="1:7" ht="43.5" x14ac:dyDescent="0.35">
      <c r="A3" s="9" t="s">
        <v>1</v>
      </c>
      <c r="B3" s="10" t="s">
        <v>2</v>
      </c>
      <c r="C3" s="11" t="s">
        <v>93</v>
      </c>
      <c r="D3" s="12" t="s">
        <v>75</v>
      </c>
      <c r="E3" s="13" t="s">
        <v>74</v>
      </c>
      <c r="F3" s="14" t="s">
        <v>94</v>
      </c>
      <c r="G3" s="15" t="s">
        <v>92</v>
      </c>
    </row>
    <row r="4" spans="1:7" x14ac:dyDescent="0.35">
      <c r="A4" s="3">
        <v>44929</v>
      </c>
      <c r="B4">
        <v>8</v>
      </c>
      <c r="C4">
        <f>IF(B4&gt;8,B4-8,0)</f>
        <v>0</v>
      </c>
      <c r="D4" s="1">
        <v>10</v>
      </c>
      <c r="E4" s="1">
        <f>D4*B4</f>
        <v>80</v>
      </c>
      <c r="F4" s="1">
        <f>D4*C4*1.5</f>
        <v>0</v>
      </c>
      <c r="G4" s="1">
        <f>E4+F4</f>
        <v>80</v>
      </c>
    </row>
    <row r="5" spans="1:7" x14ac:dyDescent="0.35">
      <c r="A5" s="3">
        <v>44929</v>
      </c>
      <c r="B5">
        <v>8</v>
      </c>
      <c r="C5">
        <f>IF(B5&gt;8,B5-8,0)</f>
        <v>0</v>
      </c>
      <c r="D5" s="1">
        <v>10</v>
      </c>
      <c r="E5" s="1">
        <f>D5*B5</f>
        <v>80</v>
      </c>
      <c r="F5" s="1">
        <f>D5*C5*1.5</f>
        <v>0</v>
      </c>
      <c r="G5" s="1">
        <f>E5+F5</f>
        <v>80</v>
      </c>
    </row>
    <row r="6" spans="1:7" x14ac:dyDescent="0.35">
      <c r="A6" s="3">
        <v>44929</v>
      </c>
      <c r="B6">
        <v>8</v>
      </c>
      <c r="C6">
        <f>IF(B6&gt;8,B6-8,0)</f>
        <v>0</v>
      </c>
      <c r="D6" s="1">
        <v>10</v>
      </c>
      <c r="E6" s="1">
        <f>D6*B6</f>
        <v>80</v>
      </c>
      <c r="F6" s="1">
        <f>D6*C6*1.5</f>
        <v>0</v>
      </c>
      <c r="G6" s="1">
        <f>E6+F6</f>
        <v>80</v>
      </c>
    </row>
    <row r="7" spans="1:7" x14ac:dyDescent="0.35">
      <c r="A7" s="3">
        <v>44929</v>
      </c>
      <c r="B7">
        <v>8</v>
      </c>
      <c r="C7">
        <f>IF(B7&gt;8,B7-8,0)</f>
        <v>0</v>
      </c>
      <c r="D7" s="1">
        <v>10</v>
      </c>
      <c r="E7" s="1">
        <f>D7*B7</f>
        <v>80</v>
      </c>
      <c r="F7" s="1">
        <f>D7*C7*1.5</f>
        <v>0</v>
      </c>
      <c r="G7" s="1">
        <f>E7+F7</f>
        <v>80</v>
      </c>
    </row>
    <row r="8" spans="1:7" x14ac:dyDescent="0.35">
      <c r="A8" s="3">
        <v>44929</v>
      </c>
      <c r="B8">
        <v>8</v>
      </c>
      <c r="C8">
        <f>IF(B8&gt;8,B8-8,0)</f>
        <v>0</v>
      </c>
      <c r="D8" s="1">
        <v>10</v>
      </c>
      <c r="E8" s="1">
        <f>D8*B8</f>
        <v>80</v>
      </c>
      <c r="F8" s="1">
        <f>D8*C8*1.5</f>
        <v>0</v>
      </c>
      <c r="G8" s="1">
        <f>E8+F8</f>
        <v>80</v>
      </c>
    </row>
    <row r="9" spans="1:7" x14ac:dyDescent="0.35">
      <c r="A9" s="3">
        <v>44929</v>
      </c>
      <c r="B9">
        <v>8</v>
      </c>
      <c r="C9">
        <f>IF(B9&gt;8,B9-8,0)</f>
        <v>0</v>
      </c>
      <c r="D9" s="1">
        <v>10</v>
      </c>
      <c r="E9" s="1">
        <f>D9*B9</f>
        <v>80</v>
      </c>
      <c r="F9" s="1">
        <f>D9*C9*1.5</f>
        <v>0</v>
      </c>
      <c r="G9" s="1">
        <f>E9+F9</f>
        <v>80</v>
      </c>
    </row>
    <row r="10" spans="1:7" x14ac:dyDescent="0.35">
      <c r="A10" s="3">
        <v>44929</v>
      </c>
      <c r="B10">
        <v>8</v>
      </c>
      <c r="C10">
        <f>IF(B10&gt;8,B10-8,0)</f>
        <v>0</v>
      </c>
      <c r="D10" s="1">
        <v>10</v>
      </c>
      <c r="E10" s="1">
        <f>D10*B10</f>
        <v>80</v>
      </c>
      <c r="F10" s="1">
        <f>D10*C10*1.5</f>
        <v>0</v>
      </c>
      <c r="G10" s="1">
        <f>E10+F10</f>
        <v>80</v>
      </c>
    </row>
    <row r="11" spans="1:7" x14ac:dyDescent="0.35">
      <c r="A11" s="3">
        <v>44929</v>
      </c>
      <c r="B11">
        <v>8</v>
      </c>
      <c r="C11">
        <f>IF(B11&gt;8,B11-8,0)</f>
        <v>0</v>
      </c>
      <c r="D11" s="1">
        <v>10</v>
      </c>
      <c r="E11" s="1">
        <f>D11*B11</f>
        <v>80</v>
      </c>
      <c r="F11" s="1">
        <f>D11*C11*1.5</f>
        <v>0</v>
      </c>
      <c r="G11" s="1">
        <f>E11+F11</f>
        <v>80</v>
      </c>
    </row>
    <row r="12" spans="1:7" x14ac:dyDescent="0.35">
      <c r="A12" s="3">
        <v>44929</v>
      </c>
      <c r="B12">
        <v>8</v>
      </c>
      <c r="C12">
        <f>IF(B12&gt;8,B12-8,0)</f>
        <v>0</v>
      </c>
      <c r="D12" s="1">
        <v>10</v>
      </c>
      <c r="E12" s="1">
        <f>D12*B12</f>
        <v>80</v>
      </c>
      <c r="F12" s="1">
        <f>D12*C12*1.5</f>
        <v>0</v>
      </c>
      <c r="G12" s="1">
        <f>E12+F12</f>
        <v>80</v>
      </c>
    </row>
    <row r="13" spans="1:7" x14ac:dyDescent="0.35">
      <c r="A13" s="3">
        <v>44929</v>
      </c>
      <c r="B13">
        <v>8</v>
      </c>
      <c r="C13">
        <f>IF(B13&gt;8,B13-8,0)</f>
        <v>0</v>
      </c>
      <c r="D13" s="1">
        <v>10</v>
      </c>
      <c r="E13" s="1">
        <f>D13*B13</f>
        <v>80</v>
      </c>
      <c r="F13" s="1">
        <f>D13*C13*1.5</f>
        <v>0</v>
      </c>
      <c r="G13" s="1">
        <f>E13+F13</f>
        <v>80</v>
      </c>
    </row>
    <row r="14" spans="1:7" x14ac:dyDescent="0.35">
      <c r="A14" s="3">
        <v>44929</v>
      </c>
      <c r="B14">
        <v>8</v>
      </c>
      <c r="C14">
        <f>IF(B14&gt;8,B14-8,0)</f>
        <v>0</v>
      </c>
      <c r="D14" s="1">
        <v>10</v>
      </c>
      <c r="E14" s="1">
        <f>D14*B14</f>
        <v>80</v>
      </c>
      <c r="F14" s="1">
        <f>D14*C14*1.5</f>
        <v>0</v>
      </c>
      <c r="G14" s="1">
        <f>E14+F14</f>
        <v>80</v>
      </c>
    </row>
    <row r="15" spans="1:7" x14ac:dyDescent="0.35">
      <c r="A15" s="3">
        <v>44929</v>
      </c>
      <c r="B15">
        <v>8</v>
      </c>
      <c r="C15">
        <f>IF(B15&gt;8,B15-8,0)</f>
        <v>0</v>
      </c>
      <c r="D15" s="1">
        <v>10</v>
      </c>
      <c r="E15" s="1">
        <f>D15*B15</f>
        <v>80</v>
      </c>
      <c r="F15" s="1">
        <f>D15*C15*1.5</f>
        <v>0</v>
      </c>
      <c r="G15" s="1">
        <f>E15+F15</f>
        <v>80</v>
      </c>
    </row>
    <row r="16" spans="1:7" x14ac:dyDescent="0.35">
      <c r="A16" s="3">
        <v>44929</v>
      </c>
      <c r="B16">
        <v>8</v>
      </c>
      <c r="C16">
        <f>IF(B16&gt;8,B16-8,0)</f>
        <v>0</v>
      </c>
      <c r="D16" s="1">
        <v>10</v>
      </c>
      <c r="E16" s="1">
        <f>D16*B16</f>
        <v>80</v>
      </c>
      <c r="F16" s="1">
        <f>D16*C16*1.5</f>
        <v>0</v>
      </c>
      <c r="G16" s="1">
        <f>E16+F16</f>
        <v>80</v>
      </c>
    </row>
    <row r="17" spans="1:7" x14ac:dyDescent="0.35">
      <c r="A17" s="3">
        <v>44929</v>
      </c>
      <c r="B17">
        <v>8</v>
      </c>
      <c r="C17">
        <f>IF(B17&gt;8,B17-8,0)</f>
        <v>0</v>
      </c>
      <c r="D17" s="1">
        <v>10</v>
      </c>
      <c r="E17" s="1">
        <f>D17*B17</f>
        <v>80</v>
      </c>
      <c r="F17" s="1">
        <f>D17*C17*1.5</f>
        <v>0</v>
      </c>
      <c r="G17" s="1">
        <f>E17+F17</f>
        <v>80</v>
      </c>
    </row>
    <row r="18" spans="1:7" x14ac:dyDescent="0.35">
      <c r="A18" s="3">
        <v>44929</v>
      </c>
      <c r="B18">
        <v>8</v>
      </c>
      <c r="C18">
        <f>IF(B18&gt;8,B18-8,0)</f>
        <v>0</v>
      </c>
      <c r="D18" s="1">
        <v>10</v>
      </c>
      <c r="E18" s="1">
        <f>D18*B18</f>
        <v>80</v>
      </c>
      <c r="F18" s="1">
        <f>D18*C18*1.5</f>
        <v>0</v>
      </c>
      <c r="G18" s="1">
        <f>E18+F18</f>
        <v>80</v>
      </c>
    </row>
    <row r="19" spans="1:7" x14ac:dyDescent="0.35">
      <c r="A19" s="3">
        <v>44929</v>
      </c>
      <c r="B19">
        <v>8</v>
      </c>
      <c r="C19">
        <f>IF(B19&gt;8,B19-8,0)</f>
        <v>0</v>
      </c>
      <c r="D19" s="1">
        <v>10</v>
      </c>
      <c r="E19" s="1">
        <f>D19*B19</f>
        <v>80</v>
      </c>
      <c r="F19" s="1">
        <f>D19*C19*1.5</f>
        <v>0</v>
      </c>
      <c r="G19" s="1">
        <f>E19+F19</f>
        <v>80</v>
      </c>
    </row>
    <row r="20" spans="1:7" x14ac:dyDescent="0.35">
      <c r="A20" s="3">
        <v>44929</v>
      </c>
      <c r="B20">
        <v>8</v>
      </c>
      <c r="C20">
        <f>IF(B20&gt;8,B20-8,0)</f>
        <v>0</v>
      </c>
      <c r="D20" s="1">
        <v>10</v>
      </c>
      <c r="E20" s="1">
        <f>D20*B20</f>
        <v>80</v>
      </c>
      <c r="F20" s="1">
        <f>D20*C20*1.5</f>
        <v>0</v>
      </c>
      <c r="G20" s="1">
        <f>E20+F20</f>
        <v>80</v>
      </c>
    </row>
    <row r="21" spans="1:7" x14ac:dyDescent="0.35">
      <c r="A21" s="3">
        <v>44929</v>
      </c>
      <c r="B21">
        <v>8</v>
      </c>
      <c r="C21">
        <f>IF(B21&gt;8,B21-8,0)</f>
        <v>0</v>
      </c>
      <c r="D21" s="1">
        <v>10</v>
      </c>
      <c r="E21" s="1">
        <f>D21*B21</f>
        <v>80</v>
      </c>
      <c r="F21" s="1">
        <f>D21*C21*1.5</f>
        <v>0</v>
      </c>
      <c r="G21" s="1">
        <f>E21+F21</f>
        <v>80</v>
      </c>
    </row>
    <row r="22" spans="1:7" x14ac:dyDescent="0.35">
      <c r="A22" s="3">
        <v>44929</v>
      </c>
      <c r="B22">
        <v>8</v>
      </c>
      <c r="C22">
        <f>IF(B22&gt;8,B22-8,0)</f>
        <v>0</v>
      </c>
      <c r="D22" s="1">
        <v>10</v>
      </c>
      <c r="E22" s="1">
        <f>D22*B22</f>
        <v>80</v>
      </c>
      <c r="F22" s="1">
        <f>D22*C22*1.5</f>
        <v>0</v>
      </c>
      <c r="G22" s="1">
        <f>E22+F22</f>
        <v>80</v>
      </c>
    </row>
    <row r="23" spans="1:7" x14ac:dyDescent="0.35">
      <c r="A23" s="3">
        <v>44929</v>
      </c>
      <c r="B23">
        <v>8</v>
      </c>
      <c r="C23">
        <f>IF(B23&gt;8,B23-8,0)</f>
        <v>0</v>
      </c>
      <c r="D23" s="1">
        <v>10</v>
      </c>
      <c r="E23" s="1">
        <f>D23*B23</f>
        <v>80</v>
      </c>
      <c r="F23" s="1">
        <f>D23*C23*1.5</f>
        <v>0</v>
      </c>
      <c r="G23" s="1">
        <f>E23+F23</f>
        <v>80</v>
      </c>
    </row>
    <row r="24" spans="1:7" x14ac:dyDescent="0.35">
      <c r="A24" s="3">
        <v>44929</v>
      </c>
      <c r="B24">
        <v>8</v>
      </c>
      <c r="C24">
        <f>IF(B24&gt;8,B24-8,0)</f>
        <v>0</v>
      </c>
      <c r="D24" s="1">
        <v>10</v>
      </c>
      <c r="E24" s="1">
        <f>D24*B24</f>
        <v>80</v>
      </c>
      <c r="F24" s="1">
        <f>D24*C24*1.5</f>
        <v>0</v>
      </c>
      <c r="G24" s="1">
        <f>E24+F24</f>
        <v>80</v>
      </c>
    </row>
    <row r="25" spans="1:7" x14ac:dyDescent="0.35">
      <c r="A25" s="3">
        <v>44929</v>
      </c>
      <c r="B25">
        <v>8</v>
      </c>
      <c r="C25">
        <f>IF(B25&gt;8,B25-8,0)</f>
        <v>0</v>
      </c>
      <c r="D25" s="1">
        <v>10</v>
      </c>
      <c r="E25" s="1">
        <f>D25*B25</f>
        <v>80</v>
      </c>
      <c r="F25" s="1">
        <f>D25*C25*1.5</f>
        <v>0</v>
      </c>
      <c r="G25" s="1">
        <f>E25+F25</f>
        <v>80</v>
      </c>
    </row>
    <row r="26" spans="1:7" x14ac:dyDescent="0.35">
      <c r="A26" s="3">
        <v>44929</v>
      </c>
      <c r="B26">
        <v>8</v>
      </c>
      <c r="C26">
        <f>IF(B26&gt;8,B26-8,0)</f>
        <v>0</v>
      </c>
      <c r="D26" s="1">
        <v>10</v>
      </c>
      <c r="E26" s="1">
        <f>D26*B26</f>
        <v>80</v>
      </c>
      <c r="F26" s="1">
        <f>D26*C26*1.5</f>
        <v>0</v>
      </c>
      <c r="G26" s="1">
        <f>E26+F26</f>
        <v>80</v>
      </c>
    </row>
    <row r="27" spans="1:7" x14ac:dyDescent="0.35">
      <c r="A27" s="3">
        <v>44929</v>
      </c>
      <c r="B27">
        <v>8</v>
      </c>
      <c r="C27">
        <f>IF(B27&gt;8,B27-8,0)</f>
        <v>0</v>
      </c>
      <c r="D27" s="1">
        <v>10</v>
      </c>
      <c r="E27" s="1">
        <f>D27*B27</f>
        <v>80</v>
      </c>
      <c r="F27" s="1">
        <f>D27*C27*1.5</f>
        <v>0</v>
      </c>
      <c r="G27" s="1">
        <f>E27+F27</f>
        <v>80</v>
      </c>
    </row>
    <row r="28" spans="1:7" x14ac:dyDescent="0.35">
      <c r="A28" s="3">
        <v>44929</v>
      </c>
      <c r="B28">
        <v>8</v>
      </c>
      <c r="C28">
        <f>IF(B28&gt;8,B28-8,0)</f>
        <v>0</v>
      </c>
      <c r="D28" s="1">
        <v>10</v>
      </c>
      <c r="E28" s="1">
        <f>D28*B28</f>
        <v>80</v>
      </c>
      <c r="F28" s="1">
        <f>D28*C28*1.5</f>
        <v>0</v>
      </c>
      <c r="G28" s="1">
        <f>E28+F28</f>
        <v>80</v>
      </c>
    </row>
    <row r="29" spans="1:7" x14ac:dyDescent="0.35">
      <c r="A29" s="3">
        <v>44929</v>
      </c>
      <c r="B29">
        <v>8</v>
      </c>
      <c r="C29">
        <f>IF(B29&gt;8,B29-8,0)</f>
        <v>0</v>
      </c>
      <c r="D29" s="1">
        <v>10</v>
      </c>
      <c r="E29" s="1">
        <f>D29*B29</f>
        <v>80</v>
      </c>
      <c r="F29" s="1">
        <f>D29*C29*1.5</f>
        <v>0</v>
      </c>
      <c r="G29" s="1">
        <f>E29+F29</f>
        <v>80</v>
      </c>
    </row>
    <row r="30" spans="1:7" x14ac:dyDescent="0.35">
      <c r="A30" s="3">
        <v>44929</v>
      </c>
      <c r="B30">
        <v>8</v>
      </c>
      <c r="C30">
        <f>IF(B30&gt;8,B30-8,0)</f>
        <v>0</v>
      </c>
      <c r="D30" s="1">
        <v>10</v>
      </c>
      <c r="E30" s="1">
        <f>D30*B30</f>
        <v>80</v>
      </c>
      <c r="F30" s="1">
        <f>D30*C30*1.5</f>
        <v>0</v>
      </c>
      <c r="G30" s="1">
        <f>E30+F30</f>
        <v>80</v>
      </c>
    </row>
    <row r="31" spans="1:7" x14ac:dyDescent="0.35">
      <c r="A31" s="3">
        <v>44929</v>
      </c>
      <c r="B31">
        <v>8</v>
      </c>
      <c r="C31">
        <f>IF(B31&gt;8,B31-8,0)</f>
        <v>0</v>
      </c>
      <c r="D31" s="1">
        <v>10</v>
      </c>
      <c r="E31" s="1">
        <f>D31*B31</f>
        <v>80</v>
      </c>
      <c r="F31" s="1">
        <f>D31*C31*1.5</f>
        <v>0</v>
      </c>
      <c r="G31" s="1">
        <f>E31+F31</f>
        <v>80</v>
      </c>
    </row>
    <row r="32" spans="1:7" x14ac:dyDescent="0.35">
      <c r="A32" s="3">
        <v>44929</v>
      </c>
      <c r="B32">
        <v>8</v>
      </c>
      <c r="C32">
        <f>IF(B32&gt;8,B32-8,0)</f>
        <v>0</v>
      </c>
      <c r="D32" s="1">
        <v>10</v>
      </c>
      <c r="E32" s="1">
        <f>D32*B32</f>
        <v>80</v>
      </c>
      <c r="F32" s="1">
        <f>D32*C32*1.5</f>
        <v>0</v>
      </c>
      <c r="G32" s="1">
        <f>E32+F32</f>
        <v>80</v>
      </c>
    </row>
    <row r="33" spans="1:7" x14ac:dyDescent="0.35">
      <c r="A33" s="3">
        <v>44929</v>
      </c>
      <c r="B33">
        <v>8</v>
      </c>
      <c r="C33">
        <f>IF(B33&gt;8,B33-8,0)</f>
        <v>0</v>
      </c>
      <c r="D33" s="1">
        <v>10</v>
      </c>
      <c r="E33" s="1">
        <f>D33*B33</f>
        <v>80</v>
      </c>
      <c r="F33" s="1">
        <f>D33*C33*1.5</f>
        <v>0</v>
      </c>
      <c r="G33" s="1">
        <f>E33+F33</f>
        <v>80</v>
      </c>
    </row>
    <row r="34" spans="1:7" x14ac:dyDescent="0.35">
      <c r="A34" s="3">
        <v>44929</v>
      </c>
      <c r="B34">
        <v>8</v>
      </c>
      <c r="C34">
        <f>IF(B34&gt;8,B34-8,0)</f>
        <v>0</v>
      </c>
      <c r="D34" s="1">
        <v>10</v>
      </c>
      <c r="E34" s="1">
        <f>D34*B34</f>
        <v>80</v>
      </c>
      <c r="F34" s="1">
        <f>D34*C34*1.5</f>
        <v>0</v>
      </c>
      <c r="G34" s="1">
        <f>E34+F34</f>
        <v>80</v>
      </c>
    </row>
    <row r="35" spans="1:7" x14ac:dyDescent="0.35">
      <c r="A35" s="3">
        <v>44929</v>
      </c>
      <c r="B35">
        <v>8</v>
      </c>
      <c r="C35">
        <f>IF(B35&gt;8,B35-8,0)</f>
        <v>0</v>
      </c>
      <c r="D35" s="1">
        <v>10</v>
      </c>
      <c r="E35" s="1">
        <f>D35*B35</f>
        <v>80</v>
      </c>
      <c r="F35" s="1">
        <f>D35*C35*1.5</f>
        <v>0</v>
      </c>
      <c r="G35" s="1">
        <f>E35+F35</f>
        <v>80</v>
      </c>
    </row>
    <row r="36" spans="1:7" x14ac:dyDescent="0.35">
      <c r="A36" s="3">
        <v>44929</v>
      </c>
      <c r="B36">
        <v>8</v>
      </c>
      <c r="C36">
        <f>IF(B36&gt;8,B36-8,0)</f>
        <v>0</v>
      </c>
      <c r="D36" s="1">
        <v>10</v>
      </c>
      <c r="E36" s="1">
        <f>D36*B36</f>
        <v>80</v>
      </c>
      <c r="F36" s="1">
        <f>D36*C36*1.5</f>
        <v>0</v>
      </c>
      <c r="G36" s="1">
        <f>E36+F36</f>
        <v>80</v>
      </c>
    </row>
    <row r="37" spans="1:7" x14ac:dyDescent="0.35">
      <c r="A37" s="3">
        <v>44929</v>
      </c>
      <c r="B37">
        <v>8</v>
      </c>
      <c r="C37">
        <f>IF(B37&gt;8,B37-8,0)</f>
        <v>0</v>
      </c>
      <c r="D37" s="1">
        <v>10</v>
      </c>
      <c r="E37" s="1">
        <f>D37*B37</f>
        <v>80</v>
      </c>
      <c r="F37" s="1">
        <f>D37*C37*1.5</f>
        <v>0</v>
      </c>
      <c r="G37" s="1">
        <f>E37+F37</f>
        <v>80</v>
      </c>
    </row>
    <row r="38" spans="1:7" x14ac:dyDescent="0.35">
      <c r="A38" s="3">
        <v>44929</v>
      </c>
      <c r="B38">
        <v>8</v>
      </c>
      <c r="C38">
        <f>IF(B38&gt;8,B38-8,0)</f>
        <v>0</v>
      </c>
      <c r="D38" s="1">
        <v>10</v>
      </c>
      <c r="E38" s="1">
        <f>D38*B38</f>
        <v>80</v>
      </c>
      <c r="F38" s="1">
        <f>D38*C38*1.5</f>
        <v>0</v>
      </c>
      <c r="G38" s="1">
        <f>E38+F38</f>
        <v>80</v>
      </c>
    </row>
    <row r="39" spans="1:7" x14ac:dyDescent="0.35">
      <c r="A39" s="3">
        <v>44929</v>
      </c>
      <c r="B39">
        <v>8</v>
      </c>
      <c r="C39">
        <f>IF(B39&gt;8,B39-8,0)</f>
        <v>0</v>
      </c>
      <c r="D39" s="1">
        <v>10</v>
      </c>
      <c r="E39" s="1">
        <f>D39*B39</f>
        <v>80</v>
      </c>
      <c r="F39" s="1">
        <f>D39*C39*1.5</f>
        <v>0</v>
      </c>
      <c r="G39" s="1">
        <f>E39+F39</f>
        <v>80</v>
      </c>
    </row>
    <row r="40" spans="1:7" x14ac:dyDescent="0.35">
      <c r="A40" s="3">
        <v>44929</v>
      </c>
      <c r="B40">
        <v>9</v>
      </c>
      <c r="C40">
        <f>IF(B40&gt;8,B40-8,0)</f>
        <v>1</v>
      </c>
      <c r="D40" s="1">
        <v>10</v>
      </c>
      <c r="E40" s="1">
        <f>D40*B40</f>
        <v>90</v>
      </c>
      <c r="F40" s="1">
        <f>D40*C40*1.5</f>
        <v>15</v>
      </c>
      <c r="G40" s="1">
        <f>E40+F40</f>
        <v>105</v>
      </c>
    </row>
    <row r="41" spans="1:7" x14ac:dyDescent="0.35">
      <c r="A41" s="3">
        <v>44929</v>
      </c>
      <c r="B41">
        <v>9</v>
      </c>
      <c r="C41">
        <f>IF(B41&gt;8,B41-8,0)</f>
        <v>1</v>
      </c>
      <c r="D41" s="1">
        <v>10</v>
      </c>
      <c r="E41" s="1">
        <f>D41*B41</f>
        <v>90</v>
      </c>
      <c r="F41" s="1">
        <f>D41*C41*1.5</f>
        <v>15</v>
      </c>
      <c r="G41" s="1">
        <f>E41+F41</f>
        <v>105</v>
      </c>
    </row>
    <row r="42" spans="1:7" x14ac:dyDescent="0.35">
      <c r="A42" s="3">
        <v>44929</v>
      </c>
      <c r="B42">
        <v>9</v>
      </c>
      <c r="C42">
        <f>IF(B42&gt;8,B42-8,0)</f>
        <v>1</v>
      </c>
      <c r="D42" s="1">
        <v>10</v>
      </c>
      <c r="E42" s="1">
        <f>D42*B42</f>
        <v>90</v>
      </c>
      <c r="F42" s="1">
        <f>D42*C42*1.5</f>
        <v>15</v>
      </c>
      <c r="G42" s="1">
        <f>E42+F42</f>
        <v>105</v>
      </c>
    </row>
    <row r="43" spans="1:7" x14ac:dyDescent="0.35">
      <c r="A43" s="3">
        <v>44929</v>
      </c>
      <c r="B43">
        <v>9</v>
      </c>
      <c r="C43">
        <f>IF(B43&gt;8,B43-8,0)</f>
        <v>1</v>
      </c>
      <c r="D43" s="1">
        <v>10</v>
      </c>
      <c r="E43" s="1">
        <f>D43*B43</f>
        <v>90</v>
      </c>
      <c r="F43" s="1">
        <f>D43*C43*1.5</f>
        <v>15</v>
      </c>
      <c r="G43" s="1">
        <f>E43+F43</f>
        <v>105</v>
      </c>
    </row>
    <row r="44" spans="1:7" x14ac:dyDescent="0.35">
      <c r="A44" s="3">
        <v>44929</v>
      </c>
      <c r="B44">
        <v>9</v>
      </c>
      <c r="C44">
        <f>IF(B44&gt;8,B44-8,0)</f>
        <v>1</v>
      </c>
      <c r="D44" s="1">
        <v>10</v>
      </c>
      <c r="E44" s="1">
        <f>D44*B44</f>
        <v>90</v>
      </c>
      <c r="F44" s="1">
        <f>D44*C44*1.5</f>
        <v>15</v>
      </c>
      <c r="G44" s="1">
        <f>E44+F44</f>
        <v>105</v>
      </c>
    </row>
    <row r="45" spans="1:7" x14ac:dyDescent="0.35">
      <c r="A45" s="3">
        <v>44929</v>
      </c>
      <c r="B45">
        <v>9</v>
      </c>
      <c r="C45">
        <f>IF(B45&gt;8,B45-8,0)</f>
        <v>1</v>
      </c>
      <c r="D45" s="1">
        <v>10</v>
      </c>
      <c r="E45" s="1">
        <f>D45*B45</f>
        <v>90</v>
      </c>
      <c r="F45" s="1">
        <f>D45*C45*1.5</f>
        <v>15</v>
      </c>
      <c r="G45" s="1">
        <f>E45+F45</f>
        <v>105</v>
      </c>
    </row>
    <row r="46" spans="1:7" x14ac:dyDescent="0.35">
      <c r="A46" s="3">
        <v>44929</v>
      </c>
      <c r="B46">
        <v>9</v>
      </c>
      <c r="C46">
        <f>IF(B46&gt;8,B46-8,0)</f>
        <v>1</v>
      </c>
      <c r="D46" s="1">
        <v>10</v>
      </c>
      <c r="E46" s="1">
        <f>D46*B46</f>
        <v>90</v>
      </c>
      <c r="F46" s="1">
        <f>D46*C46*1.5</f>
        <v>15</v>
      </c>
      <c r="G46" s="1">
        <f>E46+F46</f>
        <v>105</v>
      </c>
    </row>
    <row r="47" spans="1:7" x14ac:dyDescent="0.35">
      <c r="A47" s="3">
        <v>44929</v>
      </c>
      <c r="B47">
        <v>9</v>
      </c>
      <c r="C47">
        <f>IF(B47&gt;8,B47-8,0)</f>
        <v>1</v>
      </c>
      <c r="D47" s="1">
        <v>10</v>
      </c>
      <c r="E47" s="1">
        <f>D47*B47</f>
        <v>90</v>
      </c>
      <c r="F47" s="1">
        <f>D47*C47*1.5</f>
        <v>15</v>
      </c>
      <c r="G47" s="1">
        <f>E47+F47</f>
        <v>105</v>
      </c>
    </row>
    <row r="48" spans="1:7" x14ac:dyDescent="0.35">
      <c r="A48" s="3">
        <v>44929</v>
      </c>
      <c r="B48">
        <v>9</v>
      </c>
      <c r="C48">
        <f>IF(B48&gt;8,B48-8,0)</f>
        <v>1</v>
      </c>
      <c r="D48" s="1">
        <v>10</v>
      </c>
      <c r="E48" s="1">
        <f>D48*B48</f>
        <v>90</v>
      </c>
      <c r="F48" s="1">
        <f>D48*C48*1.5</f>
        <v>15</v>
      </c>
      <c r="G48" s="1">
        <f>E48+F48</f>
        <v>105</v>
      </c>
    </row>
    <row r="49" spans="1:7" x14ac:dyDescent="0.35">
      <c r="A49" s="3">
        <v>44929</v>
      </c>
      <c r="B49">
        <v>9</v>
      </c>
      <c r="C49">
        <f>IF(B49&gt;8,B49-8,0)</f>
        <v>1</v>
      </c>
      <c r="D49" s="1">
        <v>10</v>
      </c>
      <c r="E49" s="1">
        <f>D49*B49</f>
        <v>90</v>
      </c>
      <c r="F49" s="1">
        <f>D49*C49*1.5</f>
        <v>15</v>
      </c>
      <c r="G49" s="1">
        <f>E49+F49</f>
        <v>105</v>
      </c>
    </row>
    <row r="50" spans="1:7" x14ac:dyDescent="0.35">
      <c r="A50" s="3">
        <v>44929</v>
      </c>
      <c r="B50">
        <v>9</v>
      </c>
      <c r="C50">
        <f>IF(B50&gt;8,B50-8,0)</f>
        <v>1</v>
      </c>
      <c r="D50" s="1">
        <v>10</v>
      </c>
      <c r="E50" s="1">
        <f>D50*B50</f>
        <v>90</v>
      </c>
      <c r="F50" s="1">
        <f>D50*C50*1.5</f>
        <v>15</v>
      </c>
      <c r="G50" s="1">
        <f>E50+F50</f>
        <v>105</v>
      </c>
    </row>
    <row r="51" spans="1:7" x14ac:dyDescent="0.35">
      <c r="A51" s="3">
        <v>44929</v>
      </c>
      <c r="B51">
        <v>7</v>
      </c>
      <c r="C51">
        <f>IF(B51&gt;8,B51-8,0)</f>
        <v>0</v>
      </c>
      <c r="D51" s="1">
        <v>10</v>
      </c>
      <c r="E51" s="1">
        <f>D51*B51</f>
        <v>70</v>
      </c>
      <c r="F51" s="1">
        <f>D51*C51*1.5</f>
        <v>0</v>
      </c>
      <c r="G51" s="1">
        <f>E51+F51</f>
        <v>70</v>
      </c>
    </row>
    <row r="52" spans="1:7" x14ac:dyDescent="0.35">
      <c r="A52" s="3">
        <v>44929</v>
      </c>
      <c r="B52">
        <v>7</v>
      </c>
      <c r="C52">
        <f>IF(B52&gt;8,B52-8,0)</f>
        <v>0</v>
      </c>
      <c r="D52" s="1">
        <v>10</v>
      </c>
      <c r="E52" s="1">
        <f>D52*B52</f>
        <v>70</v>
      </c>
      <c r="F52" s="1">
        <f>D52*C52*1.5</f>
        <v>0</v>
      </c>
      <c r="G52" s="1">
        <f>E52+F52</f>
        <v>70</v>
      </c>
    </row>
    <row r="53" spans="1:7" x14ac:dyDescent="0.35">
      <c r="A53" s="3">
        <v>44929</v>
      </c>
      <c r="B53">
        <v>7</v>
      </c>
      <c r="C53">
        <f>IF(B53&gt;8,B53-8,0)</f>
        <v>0</v>
      </c>
      <c r="D53" s="1">
        <v>10</v>
      </c>
      <c r="E53" s="1">
        <f>D53*B53</f>
        <v>70</v>
      </c>
      <c r="F53" s="1">
        <f>D53*C53*1.5</f>
        <v>0</v>
      </c>
      <c r="G53" s="1">
        <f>E53+F53</f>
        <v>70</v>
      </c>
    </row>
    <row r="55" spans="1:7" x14ac:dyDescent="0.35">
      <c r="A55" t="s">
        <v>88</v>
      </c>
      <c r="B55" s="5">
        <f>MAX(B4:B53)</f>
        <v>9</v>
      </c>
      <c r="C55">
        <f>MAX(C4:C53)</f>
        <v>1</v>
      </c>
      <c r="E55" s="1">
        <f>MAX(E4:E53)</f>
        <v>90</v>
      </c>
      <c r="F55" s="1"/>
      <c r="G55" s="1">
        <f>MAX(G4:G53)</f>
        <v>105</v>
      </c>
    </row>
    <row r="56" spans="1:7" x14ac:dyDescent="0.35">
      <c r="A56" t="s">
        <v>89</v>
      </c>
      <c r="B56" s="5">
        <f>MIN(B4:B53)</f>
        <v>7</v>
      </c>
      <c r="C56">
        <f>MIN(C4:C53)</f>
        <v>0</v>
      </c>
      <c r="E56" s="1">
        <f>MIN(E4:E53)</f>
        <v>70</v>
      </c>
      <c r="F56" s="5"/>
      <c r="G56" s="1">
        <f>MIN(G4:G53)</f>
        <v>70</v>
      </c>
    </row>
    <row r="57" spans="1:7" x14ac:dyDescent="0.35">
      <c r="A57" t="s">
        <v>90</v>
      </c>
      <c r="B57" s="5">
        <f>SUM(B4:B53)</f>
        <v>408</v>
      </c>
      <c r="C57">
        <f>SUMIF(C4:C53,"&gt;1")</f>
        <v>0</v>
      </c>
      <c r="E57" s="1">
        <f>SUM(E4:E53)</f>
        <v>4080</v>
      </c>
      <c r="F57" s="5"/>
      <c r="G57" s="1">
        <f>SUM(G4:G53)</f>
        <v>4245</v>
      </c>
    </row>
    <row r="58" spans="1:7" x14ac:dyDescent="0.35">
      <c r="A58" t="s">
        <v>91</v>
      </c>
      <c r="B58" s="5">
        <f>AVERAGE(B4:B53)</f>
        <v>8.16</v>
      </c>
      <c r="C58">
        <f>AVERAGE(C4:C53)</f>
        <v>0.22</v>
      </c>
      <c r="E58" s="1">
        <f>AVERAGE(E4:E53)</f>
        <v>81.599999999999994</v>
      </c>
      <c r="F58" s="5"/>
      <c r="G58" s="1">
        <f>AVERAGE(G4:G53)</f>
        <v>84.9</v>
      </c>
    </row>
  </sheetData>
  <mergeCells count="1">
    <mergeCell ref="A1:G1"/>
  </mergeCells>
  <conditionalFormatting sqref="G4:G53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E4055-30CB-4C75-B160-E59BDF36EE0D}">
  <dimension ref="A1:G58"/>
  <sheetViews>
    <sheetView topLeftCell="A48" workbookViewId="0">
      <selection activeCell="A55" sqref="A55:A58"/>
    </sheetView>
  </sheetViews>
  <sheetFormatPr defaultRowHeight="14.5" x14ac:dyDescent="0.35"/>
  <cols>
    <col min="1" max="1" width="10.453125" bestFit="1" customWidth="1"/>
    <col min="2" max="2" width="7.6328125" bestFit="1" customWidth="1"/>
    <col min="3" max="3" width="8.54296875" bestFit="1" customWidth="1"/>
    <col min="4" max="4" width="7.453125" bestFit="1" customWidth="1"/>
    <col min="5" max="5" width="9.90625" bestFit="1" customWidth="1"/>
    <col min="6" max="6" width="8.54296875" bestFit="1" customWidth="1"/>
    <col min="7" max="7" width="9.90625" bestFit="1" customWidth="1"/>
  </cols>
  <sheetData>
    <row r="1" spans="1:7" x14ac:dyDescent="0.35">
      <c r="A1" s="18" t="s">
        <v>78</v>
      </c>
      <c r="B1" s="18"/>
      <c r="C1" s="18"/>
      <c r="D1" s="18"/>
      <c r="E1" s="18"/>
      <c r="F1" s="18"/>
      <c r="G1" s="18"/>
    </row>
    <row r="3" spans="1:7" ht="43.5" x14ac:dyDescent="0.35">
      <c r="A3" s="9" t="s">
        <v>1</v>
      </c>
      <c r="B3" s="10" t="s">
        <v>2</v>
      </c>
      <c r="C3" s="11" t="s">
        <v>93</v>
      </c>
      <c r="D3" s="12" t="s">
        <v>75</v>
      </c>
      <c r="E3" s="13" t="s">
        <v>74</v>
      </c>
      <c r="F3" s="14" t="s">
        <v>94</v>
      </c>
      <c r="G3" s="15" t="s">
        <v>92</v>
      </c>
    </row>
    <row r="4" spans="1:7" x14ac:dyDescent="0.35">
      <c r="A4" s="3">
        <v>44930</v>
      </c>
      <c r="B4">
        <v>10</v>
      </c>
      <c r="C4">
        <f>IF(B4&gt;8,B4-8,0)</f>
        <v>2</v>
      </c>
      <c r="D4" s="1">
        <v>10</v>
      </c>
      <c r="E4" s="1">
        <f>D4*B4</f>
        <v>100</v>
      </c>
      <c r="F4" s="1">
        <f>D4*C4*1.5</f>
        <v>30</v>
      </c>
      <c r="G4" s="1">
        <f>E4+F4</f>
        <v>130</v>
      </c>
    </row>
    <row r="5" spans="1:7" x14ac:dyDescent="0.35">
      <c r="A5" s="3">
        <v>44930</v>
      </c>
      <c r="B5">
        <v>10</v>
      </c>
      <c r="C5">
        <f>IF(B5&gt;8,B5-8,0)</f>
        <v>2</v>
      </c>
      <c r="D5" s="1">
        <v>10</v>
      </c>
      <c r="E5" s="1">
        <f>D5*B5</f>
        <v>100</v>
      </c>
      <c r="F5" s="1">
        <f>D5*C5*1.5</f>
        <v>30</v>
      </c>
      <c r="G5" s="1">
        <f>E5+F5</f>
        <v>130</v>
      </c>
    </row>
    <row r="6" spans="1:7" x14ac:dyDescent="0.35">
      <c r="A6" s="3">
        <v>44930</v>
      </c>
      <c r="B6">
        <v>10</v>
      </c>
      <c r="C6">
        <f>IF(B6&gt;8,B6-8,0)</f>
        <v>2</v>
      </c>
      <c r="D6" s="1">
        <v>10</v>
      </c>
      <c r="E6" s="1">
        <f>D6*B6</f>
        <v>100</v>
      </c>
      <c r="F6" s="1">
        <f>D6*C6*1.5</f>
        <v>30</v>
      </c>
      <c r="G6" s="1">
        <f>E6+F6</f>
        <v>130</v>
      </c>
    </row>
    <row r="7" spans="1:7" x14ac:dyDescent="0.35">
      <c r="A7" s="3">
        <v>44930</v>
      </c>
      <c r="B7">
        <v>10</v>
      </c>
      <c r="C7">
        <f>IF(B7&gt;8,B7-8,0)</f>
        <v>2</v>
      </c>
      <c r="D7" s="1">
        <v>10</v>
      </c>
      <c r="E7" s="1">
        <f>D7*B7</f>
        <v>100</v>
      </c>
      <c r="F7" s="1">
        <f>D7*C7*1.5</f>
        <v>30</v>
      </c>
      <c r="G7" s="1">
        <f>E7+F7</f>
        <v>130</v>
      </c>
    </row>
    <row r="8" spans="1:7" x14ac:dyDescent="0.35">
      <c r="A8" s="3">
        <v>44930</v>
      </c>
      <c r="B8">
        <v>10</v>
      </c>
      <c r="C8">
        <f>IF(B8&gt;8,B8-8,0)</f>
        <v>2</v>
      </c>
      <c r="D8" s="1">
        <v>10</v>
      </c>
      <c r="E8" s="1">
        <f>D8*B8</f>
        <v>100</v>
      </c>
      <c r="F8" s="1">
        <f>D8*C8*1.5</f>
        <v>30</v>
      </c>
      <c r="G8" s="1">
        <f>E8+F8</f>
        <v>130</v>
      </c>
    </row>
    <row r="9" spans="1:7" x14ac:dyDescent="0.35">
      <c r="A9" s="3">
        <v>44930</v>
      </c>
      <c r="B9">
        <v>10</v>
      </c>
      <c r="C9">
        <f>IF(B9&gt;8,B9-8,0)</f>
        <v>2</v>
      </c>
      <c r="D9" s="1">
        <v>10</v>
      </c>
      <c r="E9" s="1">
        <f>D9*B9</f>
        <v>100</v>
      </c>
      <c r="F9" s="1">
        <f>D9*C9*1.5</f>
        <v>30</v>
      </c>
      <c r="G9" s="1">
        <f>E9+F9</f>
        <v>130</v>
      </c>
    </row>
    <row r="10" spans="1:7" x14ac:dyDescent="0.35">
      <c r="A10" s="3">
        <v>44930</v>
      </c>
      <c r="B10">
        <v>10</v>
      </c>
      <c r="C10">
        <f>IF(B10&gt;8,B10-8,0)</f>
        <v>2</v>
      </c>
      <c r="D10" s="1">
        <v>10</v>
      </c>
      <c r="E10" s="1">
        <f>D10*B10</f>
        <v>100</v>
      </c>
      <c r="F10" s="1">
        <f>D10*C10*1.5</f>
        <v>30</v>
      </c>
      <c r="G10" s="1">
        <f>E10+F10</f>
        <v>130</v>
      </c>
    </row>
    <row r="11" spans="1:7" x14ac:dyDescent="0.35">
      <c r="A11" s="3">
        <v>44930</v>
      </c>
      <c r="B11">
        <v>10</v>
      </c>
      <c r="C11">
        <f>IF(B11&gt;8,B11-8,0)</f>
        <v>2</v>
      </c>
      <c r="D11" s="1">
        <v>10</v>
      </c>
      <c r="E11" s="1">
        <f>D11*B11</f>
        <v>100</v>
      </c>
      <c r="F11" s="1">
        <f>D11*C11*1.5</f>
        <v>30</v>
      </c>
      <c r="G11" s="1">
        <f>E11+F11</f>
        <v>130</v>
      </c>
    </row>
    <row r="12" spans="1:7" x14ac:dyDescent="0.35">
      <c r="A12" s="3">
        <v>44930</v>
      </c>
      <c r="B12">
        <v>10</v>
      </c>
      <c r="C12">
        <f>IF(B12&gt;8,B12-8,0)</f>
        <v>2</v>
      </c>
      <c r="D12" s="1">
        <v>10</v>
      </c>
      <c r="E12" s="1">
        <f>D12*B12</f>
        <v>100</v>
      </c>
      <c r="F12" s="1">
        <f>D12*C12*1.5</f>
        <v>30</v>
      </c>
      <c r="G12" s="1">
        <f>E12+F12</f>
        <v>130</v>
      </c>
    </row>
    <row r="13" spans="1:7" x14ac:dyDescent="0.35">
      <c r="A13" s="3">
        <v>44930</v>
      </c>
      <c r="B13">
        <v>10</v>
      </c>
      <c r="C13">
        <f>IF(B13&gt;8,B13-8,0)</f>
        <v>2</v>
      </c>
      <c r="D13" s="1">
        <v>10</v>
      </c>
      <c r="E13" s="1">
        <f>D13*B13</f>
        <v>100</v>
      </c>
      <c r="F13" s="1">
        <f>D13*C13*1.5</f>
        <v>30</v>
      </c>
      <c r="G13" s="1">
        <f>E13+F13</f>
        <v>130</v>
      </c>
    </row>
    <row r="14" spans="1:7" x14ac:dyDescent="0.35">
      <c r="A14" s="3">
        <v>44930</v>
      </c>
      <c r="B14">
        <v>10</v>
      </c>
      <c r="C14">
        <f>IF(B14&gt;8,B14-8,0)</f>
        <v>2</v>
      </c>
      <c r="D14" s="1">
        <v>10</v>
      </c>
      <c r="E14" s="1">
        <f>D14*B14</f>
        <v>100</v>
      </c>
      <c r="F14" s="1">
        <f>D14*C14*1.5</f>
        <v>30</v>
      </c>
      <c r="G14" s="1">
        <f>E14+F14</f>
        <v>130</v>
      </c>
    </row>
    <row r="15" spans="1:7" x14ac:dyDescent="0.35">
      <c r="A15" s="3">
        <v>44930</v>
      </c>
      <c r="B15">
        <v>10</v>
      </c>
      <c r="C15">
        <f>IF(B15&gt;8,B15-8,0)</f>
        <v>2</v>
      </c>
      <c r="D15" s="1">
        <v>10</v>
      </c>
      <c r="E15" s="1">
        <f>D15*B15</f>
        <v>100</v>
      </c>
      <c r="F15" s="1">
        <f>D15*C15*1.5</f>
        <v>30</v>
      </c>
      <c r="G15" s="1">
        <f>E15+F15</f>
        <v>130</v>
      </c>
    </row>
    <row r="16" spans="1:7" x14ac:dyDescent="0.35">
      <c r="A16" s="3">
        <v>44930</v>
      </c>
      <c r="B16">
        <v>10</v>
      </c>
      <c r="C16">
        <f>IF(B16&gt;8,B16-8,0)</f>
        <v>2</v>
      </c>
      <c r="D16" s="1">
        <v>10</v>
      </c>
      <c r="E16" s="1">
        <f>D16*B16</f>
        <v>100</v>
      </c>
      <c r="F16" s="1">
        <f>D16*C16*1.5</f>
        <v>30</v>
      </c>
      <c r="G16" s="1">
        <f>E16+F16</f>
        <v>130</v>
      </c>
    </row>
    <row r="17" spans="1:7" x14ac:dyDescent="0.35">
      <c r="A17" s="3">
        <v>44930</v>
      </c>
      <c r="B17">
        <v>10</v>
      </c>
      <c r="C17">
        <f>IF(B17&gt;8,B17-8,0)</f>
        <v>2</v>
      </c>
      <c r="D17" s="1">
        <v>10</v>
      </c>
      <c r="E17" s="1">
        <f>D17*B17</f>
        <v>100</v>
      </c>
      <c r="F17" s="1">
        <f>D17*C17*1.5</f>
        <v>30</v>
      </c>
      <c r="G17" s="1">
        <f>E17+F17</f>
        <v>130</v>
      </c>
    </row>
    <row r="18" spans="1:7" x14ac:dyDescent="0.35">
      <c r="A18" s="3">
        <v>44930</v>
      </c>
      <c r="B18">
        <v>10</v>
      </c>
      <c r="C18">
        <f>IF(B18&gt;8,B18-8,0)</f>
        <v>2</v>
      </c>
      <c r="D18" s="1">
        <v>10</v>
      </c>
      <c r="E18" s="1">
        <f>D18*B18</f>
        <v>100</v>
      </c>
      <c r="F18" s="1">
        <f>D18*C18*1.5</f>
        <v>30</v>
      </c>
      <c r="G18" s="1">
        <f>E18+F18</f>
        <v>130</v>
      </c>
    </row>
    <row r="19" spans="1:7" x14ac:dyDescent="0.35">
      <c r="A19" s="3">
        <v>44930</v>
      </c>
      <c r="B19">
        <v>10</v>
      </c>
      <c r="C19">
        <f>IF(B19&gt;8,B19-8,0)</f>
        <v>2</v>
      </c>
      <c r="D19" s="1">
        <v>10</v>
      </c>
      <c r="E19" s="1">
        <f>D19*B19</f>
        <v>100</v>
      </c>
      <c r="F19" s="1">
        <f>D19*C19*1.5</f>
        <v>30</v>
      </c>
      <c r="G19" s="1">
        <f>E19+F19</f>
        <v>130</v>
      </c>
    </row>
    <row r="20" spans="1:7" x14ac:dyDescent="0.35">
      <c r="A20" s="3">
        <v>44930</v>
      </c>
      <c r="B20">
        <v>10</v>
      </c>
      <c r="C20">
        <f>IF(B20&gt;8,B20-8,0)</f>
        <v>2</v>
      </c>
      <c r="D20" s="1">
        <v>10</v>
      </c>
      <c r="E20" s="1">
        <f>D20*B20</f>
        <v>100</v>
      </c>
      <c r="F20" s="1">
        <f>D20*C20*1.5</f>
        <v>30</v>
      </c>
      <c r="G20" s="1">
        <f>E20+F20</f>
        <v>130</v>
      </c>
    </row>
    <row r="21" spans="1:7" x14ac:dyDescent="0.35">
      <c r="A21" s="3">
        <v>44930</v>
      </c>
      <c r="B21">
        <v>10</v>
      </c>
      <c r="C21">
        <f>IF(B21&gt;8,B21-8,0)</f>
        <v>2</v>
      </c>
      <c r="D21" s="1">
        <v>10</v>
      </c>
      <c r="E21" s="1">
        <f>D21*B21</f>
        <v>100</v>
      </c>
      <c r="F21" s="1">
        <f>D21*C21*1.5</f>
        <v>30</v>
      </c>
      <c r="G21" s="1">
        <f>E21+F21</f>
        <v>130</v>
      </c>
    </row>
    <row r="22" spans="1:7" x14ac:dyDescent="0.35">
      <c r="A22" s="3">
        <v>44930</v>
      </c>
      <c r="B22">
        <v>10</v>
      </c>
      <c r="C22">
        <f>IF(B22&gt;8,B22-8,0)</f>
        <v>2</v>
      </c>
      <c r="D22" s="1">
        <v>10</v>
      </c>
      <c r="E22" s="1">
        <f>D22*B22</f>
        <v>100</v>
      </c>
      <c r="F22" s="1">
        <f>D22*C22*1.5</f>
        <v>30</v>
      </c>
      <c r="G22" s="1">
        <f>E22+F22</f>
        <v>130</v>
      </c>
    </row>
    <row r="23" spans="1:7" x14ac:dyDescent="0.35">
      <c r="A23" s="3">
        <v>44930</v>
      </c>
      <c r="B23">
        <v>10</v>
      </c>
      <c r="C23">
        <f>IF(B23&gt;8,B23-8,0)</f>
        <v>2</v>
      </c>
      <c r="D23" s="1">
        <v>10</v>
      </c>
      <c r="E23" s="1">
        <f>D23*B23</f>
        <v>100</v>
      </c>
      <c r="F23" s="1">
        <f>D23*C23*1.5</f>
        <v>30</v>
      </c>
      <c r="G23" s="1">
        <f>E23+F23</f>
        <v>130</v>
      </c>
    </row>
    <row r="24" spans="1:7" x14ac:dyDescent="0.35">
      <c r="A24" s="3">
        <v>44930</v>
      </c>
      <c r="B24">
        <v>10</v>
      </c>
      <c r="C24">
        <f>IF(B24&gt;8,B24-8,0)</f>
        <v>2</v>
      </c>
      <c r="D24" s="1">
        <v>10</v>
      </c>
      <c r="E24" s="1">
        <f>D24*B24</f>
        <v>100</v>
      </c>
      <c r="F24" s="1">
        <f>D24*C24*1.5</f>
        <v>30</v>
      </c>
      <c r="G24" s="1">
        <f>E24+F24</f>
        <v>130</v>
      </c>
    </row>
    <row r="25" spans="1:7" x14ac:dyDescent="0.35">
      <c r="A25" s="3">
        <v>44930</v>
      </c>
      <c r="B25">
        <v>10</v>
      </c>
      <c r="C25">
        <f>IF(B25&gt;8,B25-8,0)</f>
        <v>2</v>
      </c>
      <c r="D25" s="1">
        <v>10</v>
      </c>
      <c r="E25" s="1">
        <f>D25*B25</f>
        <v>100</v>
      </c>
      <c r="F25" s="1">
        <f>D25*C25*1.5</f>
        <v>30</v>
      </c>
      <c r="G25" s="1">
        <f>E25+F25</f>
        <v>130</v>
      </c>
    </row>
    <row r="26" spans="1:7" x14ac:dyDescent="0.35">
      <c r="A26" s="3">
        <v>44930</v>
      </c>
      <c r="B26">
        <v>10</v>
      </c>
      <c r="C26">
        <f>IF(B26&gt;8,B26-8,0)</f>
        <v>2</v>
      </c>
      <c r="D26" s="1">
        <v>10</v>
      </c>
      <c r="E26" s="1">
        <f>D26*B26</f>
        <v>100</v>
      </c>
      <c r="F26" s="1">
        <f>D26*C26*1.5</f>
        <v>30</v>
      </c>
      <c r="G26" s="1">
        <f>E26+F26</f>
        <v>130</v>
      </c>
    </row>
    <row r="27" spans="1:7" x14ac:dyDescent="0.35">
      <c r="A27" s="3">
        <v>44930</v>
      </c>
      <c r="B27">
        <v>10</v>
      </c>
      <c r="C27">
        <f>IF(B27&gt;8,B27-8,0)</f>
        <v>2</v>
      </c>
      <c r="D27" s="1">
        <v>10</v>
      </c>
      <c r="E27" s="1">
        <f>D27*B27</f>
        <v>100</v>
      </c>
      <c r="F27" s="1">
        <f>D27*C27*1.5</f>
        <v>30</v>
      </c>
      <c r="G27" s="1">
        <f>E27+F27</f>
        <v>130</v>
      </c>
    </row>
    <row r="28" spans="1:7" x14ac:dyDescent="0.35">
      <c r="A28" s="3">
        <v>44930</v>
      </c>
      <c r="B28">
        <v>10</v>
      </c>
      <c r="C28">
        <f>IF(B28&gt;8,B28-8,0)</f>
        <v>2</v>
      </c>
      <c r="D28" s="1">
        <v>10</v>
      </c>
      <c r="E28" s="1">
        <f>D28*B28</f>
        <v>100</v>
      </c>
      <c r="F28" s="1">
        <f>D28*C28*1.5</f>
        <v>30</v>
      </c>
      <c r="G28" s="1">
        <f>E28+F28</f>
        <v>130</v>
      </c>
    </row>
    <row r="29" spans="1:7" x14ac:dyDescent="0.35">
      <c r="A29" s="3">
        <v>44930</v>
      </c>
      <c r="B29">
        <v>10</v>
      </c>
      <c r="C29">
        <f>IF(B29&gt;8,B29-8,0)</f>
        <v>2</v>
      </c>
      <c r="D29" s="1">
        <v>10</v>
      </c>
      <c r="E29" s="1">
        <f>D29*B29</f>
        <v>100</v>
      </c>
      <c r="F29" s="1">
        <f>D29*C29*1.5</f>
        <v>30</v>
      </c>
      <c r="G29" s="1">
        <f>E29+F29</f>
        <v>130</v>
      </c>
    </row>
    <row r="30" spans="1:7" x14ac:dyDescent="0.35">
      <c r="A30" s="3">
        <v>44930</v>
      </c>
      <c r="B30">
        <v>10</v>
      </c>
      <c r="C30">
        <f>IF(B30&gt;8,B30-8,0)</f>
        <v>2</v>
      </c>
      <c r="D30" s="1">
        <v>10</v>
      </c>
      <c r="E30" s="1">
        <f>D30*B30</f>
        <v>100</v>
      </c>
      <c r="F30" s="1">
        <f>D30*C30*1.5</f>
        <v>30</v>
      </c>
      <c r="G30" s="1">
        <f>E30+F30</f>
        <v>130</v>
      </c>
    </row>
    <row r="31" spans="1:7" x14ac:dyDescent="0.35">
      <c r="A31" s="3">
        <v>44930</v>
      </c>
      <c r="B31">
        <v>10</v>
      </c>
      <c r="C31">
        <f>IF(B31&gt;8,B31-8,0)</f>
        <v>2</v>
      </c>
      <c r="D31" s="1">
        <v>10</v>
      </c>
      <c r="E31" s="1">
        <f>D31*B31</f>
        <v>100</v>
      </c>
      <c r="F31" s="1">
        <f>D31*C31*1.5</f>
        <v>30</v>
      </c>
      <c r="G31" s="1">
        <f>E31+F31</f>
        <v>130</v>
      </c>
    </row>
    <row r="32" spans="1:7" x14ac:dyDescent="0.35">
      <c r="A32" s="3">
        <v>44930</v>
      </c>
      <c r="B32">
        <v>10</v>
      </c>
      <c r="C32">
        <f>IF(B32&gt;8,B32-8,0)</f>
        <v>2</v>
      </c>
      <c r="D32" s="1">
        <v>10</v>
      </c>
      <c r="E32" s="1">
        <f>D32*B32</f>
        <v>100</v>
      </c>
      <c r="F32" s="1">
        <f>D32*C32*1.5</f>
        <v>30</v>
      </c>
      <c r="G32" s="1">
        <f>E32+F32</f>
        <v>130</v>
      </c>
    </row>
    <row r="33" spans="1:7" x14ac:dyDescent="0.35">
      <c r="A33" s="3">
        <v>44930</v>
      </c>
      <c r="B33">
        <v>10</v>
      </c>
      <c r="C33">
        <f>IF(B33&gt;8,B33-8,0)</f>
        <v>2</v>
      </c>
      <c r="D33" s="1">
        <v>10</v>
      </c>
      <c r="E33" s="1">
        <f>D33*B33</f>
        <v>100</v>
      </c>
      <c r="F33" s="1">
        <f>D33*C33*1.5</f>
        <v>30</v>
      </c>
      <c r="G33" s="1">
        <f>E33+F33</f>
        <v>130</v>
      </c>
    </row>
    <row r="34" spans="1:7" x14ac:dyDescent="0.35">
      <c r="A34" s="3">
        <v>44930</v>
      </c>
      <c r="B34">
        <v>10</v>
      </c>
      <c r="C34">
        <f>IF(B34&gt;8,B34-8,0)</f>
        <v>2</v>
      </c>
      <c r="D34" s="1">
        <v>10</v>
      </c>
      <c r="E34" s="1">
        <f>D34*B34</f>
        <v>100</v>
      </c>
      <c r="F34" s="1">
        <f>D34*C34*1.5</f>
        <v>30</v>
      </c>
      <c r="G34" s="1">
        <f>E34+F34</f>
        <v>130</v>
      </c>
    </row>
    <row r="35" spans="1:7" x14ac:dyDescent="0.35">
      <c r="A35" s="3">
        <v>44930</v>
      </c>
      <c r="B35">
        <v>10</v>
      </c>
      <c r="C35">
        <f>IF(B35&gt;8,B35-8,0)</f>
        <v>2</v>
      </c>
      <c r="D35" s="1">
        <v>10</v>
      </c>
      <c r="E35" s="1">
        <f>D35*B35</f>
        <v>100</v>
      </c>
      <c r="F35" s="1">
        <f>D35*C35*1.5</f>
        <v>30</v>
      </c>
      <c r="G35" s="1">
        <f>E35+F35</f>
        <v>130</v>
      </c>
    </row>
    <row r="36" spans="1:7" x14ac:dyDescent="0.35">
      <c r="A36" s="3">
        <v>44930</v>
      </c>
      <c r="B36">
        <v>10</v>
      </c>
      <c r="C36">
        <f>IF(B36&gt;8,B36-8,0)</f>
        <v>2</v>
      </c>
      <c r="D36" s="1">
        <v>10</v>
      </c>
      <c r="E36" s="1">
        <f>D36*B36</f>
        <v>100</v>
      </c>
      <c r="F36" s="1">
        <f>D36*C36*1.5</f>
        <v>30</v>
      </c>
      <c r="G36" s="1">
        <f>E36+F36</f>
        <v>130</v>
      </c>
    </row>
    <row r="37" spans="1:7" x14ac:dyDescent="0.35">
      <c r="A37" s="3">
        <v>44930</v>
      </c>
      <c r="B37">
        <v>10</v>
      </c>
      <c r="C37">
        <f>IF(B37&gt;8,B37-8,0)</f>
        <v>2</v>
      </c>
      <c r="D37" s="1">
        <v>10</v>
      </c>
      <c r="E37" s="1">
        <f>D37*B37</f>
        <v>100</v>
      </c>
      <c r="F37" s="1">
        <f>D37*C37*1.5</f>
        <v>30</v>
      </c>
      <c r="G37" s="1">
        <f>E37+F37</f>
        <v>130</v>
      </c>
    </row>
    <row r="38" spans="1:7" x14ac:dyDescent="0.35">
      <c r="A38" s="3">
        <v>44930</v>
      </c>
      <c r="B38">
        <v>10</v>
      </c>
      <c r="C38">
        <f>IF(B38&gt;8,B38-8,0)</f>
        <v>2</v>
      </c>
      <c r="D38" s="1">
        <v>10</v>
      </c>
      <c r="E38" s="1">
        <f>D38*B38</f>
        <v>100</v>
      </c>
      <c r="F38" s="1">
        <f>D38*C38*1.5</f>
        <v>30</v>
      </c>
      <c r="G38" s="1">
        <f>E38+F38</f>
        <v>130</v>
      </c>
    </row>
    <row r="39" spans="1:7" x14ac:dyDescent="0.35">
      <c r="A39" s="3">
        <v>44930</v>
      </c>
      <c r="B39">
        <v>10</v>
      </c>
      <c r="C39">
        <f>IF(B39&gt;8,B39-8,0)</f>
        <v>2</v>
      </c>
      <c r="D39" s="1">
        <v>10</v>
      </c>
      <c r="E39" s="1">
        <f>D39*B39</f>
        <v>100</v>
      </c>
      <c r="F39" s="1">
        <f>D39*C39*1.5</f>
        <v>30</v>
      </c>
      <c r="G39" s="1">
        <f>E39+F39</f>
        <v>130</v>
      </c>
    </row>
    <row r="40" spans="1:7" x14ac:dyDescent="0.35">
      <c r="A40" s="3">
        <v>44930</v>
      </c>
      <c r="B40">
        <v>10</v>
      </c>
      <c r="C40">
        <f>IF(B40&gt;8,B40-8,0)</f>
        <v>2</v>
      </c>
      <c r="D40" s="1">
        <v>10</v>
      </c>
      <c r="E40" s="1">
        <f>D40*B40</f>
        <v>100</v>
      </c>
      <c r="F40" s="1">
        <f>D40*C40*1.5</f>
        <v>30</v>
      </c>
      <c r="G40" s="1">
        <f>E40+F40</f>
        <v>130</v>
      </c>
    </row>
    <row r="41" spans="1:7" x14ac:dyDescent="0.35">
      <c r="A41" s="3">
        <v>44930</v>
      </c>
      <c r="B41">
        <v>10</v>
      </c>
      <c r="C41">
        <f>IF(B41&gt;8,B41-8,0)</f>
        <v>2</v>
      </c>
      <c r="D41" s="1">
        <v>10</v>
      </c>
      <c r="E41" s="1">
        <f>D41*B41</f>
        <v>100</v>
      </c>
      <c r="F41" s="1">
        <f>D41*C41*1.5</f>
        <v>30</v>
      </c>
      <c r="G41" s="1">
        <f>E41+F41</f>
        <v>130</v>
      </c>
    </row>
    <row r="42" spans="1:7" x14ac:dyDescent="0.35">
      <c r="A42" s="3">
        <v>44930</v>
      </c>
      <c r="B42">
        <v>10</v>
      </c>
      <c r="C42">
        <f>IF(B42&gt;8,B42-8,0)</f>
        <v>2</v>
      </c>
      <c r="D42" s="1">
        <v>10</v>
      </c>
      <c r="E42" s="1">
        <f>D42*B42</f>
        <v>100</v>
      </c>
      <c r="F42" s="1">
        <f>D42*C42*1.5</f>
        <v>30</v>
      </c>
      <c r="G42" s="1">
        <f>E42+F42</f>
        <v>130</v>
      </c>
    </row>
    <row r="43" spans="1:7" x14ac:dyDescent="0.35">
      <c r="A43" s="3">
        <v>44930</v>
      </c>
      <c r="B43">
        <v>5</v>
      </c>
      <c r="C43">
        <f>IF(B43&gt;8,B43-8,0)</f>
        <v>0</v>
      </c>
      <c r="D43" s="1">
        <v>10</v>
      </c>
      <c r="E43" s="1">
        <f>D43*B43</f>
        <v>50</v>
      </c>
      <c r="F43" s="1">
        <f>D43*C43*1.5</f>
        <v>0</v>
      </c>
      <c r="G43" s="1">
        <f>E43+F43</f>
        <v>50</v>
      </c>
    </row>
    <row r="44" spans="1:7" x14ac:dyDescent="0.35">
      <c r="A44" s="3">
        <v>44930</v>
      </c>
      <c r="B44">
        <v>5</v>
      </c>
      <c r="C44">
        <f>IF(B44&gt;8,B44-8,0)</f>
        <v>0</v>
      </c>
      <c r="D44" s="1">
        <v>10</v>
      </c>
      <c r="E44" s="1">
        <f>D44*B44</f>
        <v>50</v>
      </c>
      <c r="F44" s="1">
        <f>D44*C44*1.5</f>
        <v>0</v>
      </c>
      <c r="G44" s="1">
        <f>E44+F44</f>
        <v>50</v>
      </c>
    </row>
    <row r="45" spans="1:7" x14ac:dyDescent="0.35">
      <c r="A45" s="3">
        <v>44930</v>
      </c>
      <c r="B45">
        <v>5</v>
      </c>
      <c r="C45">
        <f>IF(B45&gt;8,B45-8,0)</f>
        <v>0</v>
      </c>
      <c r="D45" s="1">
        <v>10</v>
      </c>
      <c r="E45" s="1">
        <f>D45*B45</f>
        <v>50</v>
      </c>
      <c r="F45" s="1">
        <f>D45*C45*1.5</f>
        <v>0</v>
      </c>
      <c r="G45" s="1">
        <f>E45+F45</f>
        <v>50</v>
      </c>
    </row>
    <row r="46" spans="1:7" x14ac:dyDescent="0.35">
      <c r="A46" s="3">
        <v>44930</v>
      </c>
      <c r="B46">
        <v>5</v>
      </c>
      <c r="C46">
        <f>IF(B46&gt;8,B46-8,0)</f>
        <v>0</v>
      </c>
      <c r="D46" s="1">
        <v>10</v>
      </c>
      <c r="E46" s="1">
        <f>D46*B46</f>
        <v>50</v>
      </c>
      <c r="F46" s="1">
        <f>D46*C46*1.5</f>
        <v>0</v>
      </c>
      <c r="G46" s="1">
        <f>E46+F46</f>
        <v>50</v>
      </c>
    </row>
    <row r="47" spans="1:7" x14ac:dyDescent="0.35">
      <c r="A47" s="3">
        <v>44930</v>
      </c>
      <c r="B47">
        <v>5</v>
      </c>
      <c r="C47">
        <f>IF(B47&gt;8,B47-8,0)</f>
        <v>0</v>
      </c>
      <c r="D47" s="1">
        <v>10</v>
      </c>
      <c r="E47" s="1">
        <f>D47*B47</f>
        <v>50</v>
      </c>
      <c r="F47" s="1">
        <f>D47*C47*1.5</f>
        <v>0</v>
      </c>
      <c r="G47" s="1">
        <f>E47+F47</f>
        <v>50</v>
      </c>
    </row>
    <row r="48" spans="1:7" x14ac:dyDescent="0.35">
      <c r="A48" s="3">
        <v>44930</v>
      </c>
      <c r="B48">
        <v>5</v>
      </c>
      <c r="C48">
        <f>IF(B48&gt;8,B48-8,0)</f>
        <v>0</v>
      </c>
      <c r="D48" s="1">
        <v>10</v>
      </c>
      <c r="E48" s="1">
        <f>D48*B48</f>
        <v>50</v>
      </c>
      <c r="F48" s="1">
        <f>D48*C48*1.5</f>
        <v>0</v>
      </c>
      <c r="G48" s="1">
        <f>E48+F48</f>
        <v>50</v>
      </c>
    </row>
    <row r="49" spans="1:7" x14ac:dyDescent="0.35">
      <c r="A49" s="3">
        <v>44930</v>
      </c>
      <c r="B49">
        <v>5</v>
      </c>
      <c r="C49">
        <f>IF(B49&gt;8,B49-8,0)</f>
        <v>0</v>
      </c>
      <c r="D49" s="1">
        <v>10</v>
      </c>
      <c r="E49" s="1">
        <f>D49*B49</f>
        <v>50</v>
      </c>
      <c r="F49" s="1">
        <f>D49*C49*1.5</f>
        <v>0</v>
      </c>
      <c r="G49" s="1">
        <f>E49+F49</f>
        <v>50</v>
      </c>
    </row>
    <row r="50" spans="1:7" x14ac:dyDescent="0.35">
      <c r="A50" s="3">
        <v>44930</v>
      </c>
      <c r="B50">
        <v>5</v>
      </c>
      <c r="C50">
        <f>IF(B50&gt;8,B50-8,0)</f>
        <v>0</v>
      </c>
      <c r="D50" s="1">
        <v>10</v>
      </c>
      <c r="E50" s="1">
        <f>D50*B50</f>
        <v>50</v>
      </c>
      <c r="F50" s="1">
        <f>D50*C50*1.5</f>
        <v>0</v>
      </c>
      <c r="G50" s="1">
        <f>E50+F50</f>
        <v>50</v>
      </c>
    </row>
    <row r="51" spans="1:7" x14ac:dyDescent="0.35">
      <c r="A51" s="3">
        <v>44930</v>
      </c>
      <c r="B51">
        <v>5</v>
      </c>
      <c r="C51">
        <f>IF(B51&gt;8,B51-8,0)</f>
        <v>0</v>
      </c>
      <c r="D51" s="1">
        <v>10</v>
      </c>
      <c r="E51" s="1">
        <f>D51*B51</f>
        <v>50</v>
      </c>
      <c r="F51" s="1">
        <f>D51*C51*1.5</f>
        <v>0</v>
      </c>
      <c r="G51" s="1">
        <f>E51+F51</f>
        <v>50</v>
      </c>
    </row>
    <row r="52" spans="1:7" x14ac:dyDescent="0.35">
      <c r="A52" s="3">
        <v>44930</v>
      </c>
      <c r="B52">
        <v>5</v>
      </c>
      <c r="C52">
        <f>IF(B52&gt;8,B52-8,0)</f>
        <v>0</v>
      </c>
      <c r="D52" s="1">
        <v>10</v>
      </c>
      <c r="E52" s="1">
        <f>D52*B52</f>
        <v>50</v>
      </c>
      <c r="F52" s="1">
        <f>D52*C52*1.5</f>
        <v>0</v>
      </c>
      <c r="G52" s="1">
        <f>E52+F52</f>
        <v>50</v>
      </c>
    </row>
    <row r="53" spans="1:7" x14ac:dyDescent="0.35">
      <c r="A53" s="3">
        <v>44930</v>
      </c>
      <c r="B53">
        <v>5</v>
      </c>
      <c r="C53">
        <f>IF(B53&gt;8,B53-8,0)</f>
        <v>0</v>
      </c>
      <c r="D53" s="1">
        <v>10</v>
      </c>
      <c r="E53" s="1">
        <f>D53*B53</f>
        <v>50</v>
      </c>
      <c r="F53" s="1">
        <f>D53*C53*1.5</f>
        <v>0</v>
      </c>
      <c r="G53" s="1">
        <f>E53+F53</f>
        <v>50</v>
      </c>
    </row>
    <row r="55" spans="1:7" x14ac:dyDescent="0.35">
      <c r="A55" t="s">
        <v>88</v>
      </c>
      <c r="B55" s="5">
        <f>MAX(B4:B53)</f>
        <v>10</v>
      </c>
      <c r="C55">
        <f>MAX(C4:C53)</f>
        <v>2</v>
      </c>
      <c r="E55" s="1">
        <f>MAX(E4:E53)</f>
        <v>100</v>
      </c>
      <c r="F55" s="1"/>
      <c r="G55" s="1">
        <f>MAX(G4:G53)</f>
        <v>130</v>
      </c>
    </row>
    <row r="56" spans="1:7" x14ac:dyDescent="0.35">
      <c r="A56" t="s">
        <v>89</v>
      </c>
      <c r="B56" s="5">
        <f>MIN(B4:B53)</f>
        <v>5</v>
      </c>
      <c r="C56">
        <f>MIN(C4:C53)</f>
        <v>0</v>
      </c>
      <c r="E56" s="1">
        <f>MIN(E4:E53)</f>
        <v>50</v>
      </c>
      <c r="F56" s="5"/>
      <c r="G56" s="1">
        <f>MIN(G4:G53)</f>
        <v>50</v>
      </c>
    </row>
    <row r="57" spans="1:7" x14ac:dyDescent="0.35">
      <c r="A57" t="s">
        <v>90</v>
      </c>
      <c r="B57" s="5">
        <f>SUM(B4:B53)</f>
        <v>445</v>
      </c>
      <c r="C57">
        <f>SUMIF(C4:C53,"&gt;1")</f>
        <v>78</v>
      </c>
      <c r="E57" s="1">
        <f>SUM(E4:E53)</f>
        <v>4450</v>
      </c>
      <c r="F57" s="5"/>
      <c r="G57" s="1">
        <f>SUM(G4:G53)</f>
        <v>5620</v>
      </c>
    </row>
    <row r="58" spans="1:7" x14ac:dyDescent="0.35">
      <c r="A58" t="s">
        <v>91</v>
      </c>
      <c r="B58" s="5">
        <f>AVERAGE(B4:B53)</f>
        <v>8.9</v>
      </c>
      <c r="C58">
        <f>AVERAGE(C4:C53)</f>
        <v>1.56</v>
      </c>
      <c r="E58" s="1">
        <f>AVERAGE(E4:E53)</f>
        <v>89</v>
      </c>
      <c r="F58" s="5"/>
      <c r="G58" s="1">
        <f>AVERAGE(G4:G53)</f>
        <v>112.4</v>
      </c>
    </row>
  </sheetData>
  <mergeCells count="1">
    <mergeCell ref="A1:G1"/>
  </mergeCells>
  <conditionalFormatting sqref="G4:G53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C78B4-2707-467D-9D6A-C6BF7C325893}">
  <dimension ref="A1:G58"/>
  <sheetViews>
    <sheetView topLeftCell="A48" workbookViewId="0">
      <selection activeCell="C60" sqref="C60"/>
    </sheetView>
  </sheetViews>
  <sheetFormatPr defaultRowHeight="14.5" x14ac:dyDescent="0.35"/>
  <cols>
    <col min="1" max="1" width="12.08984375" bestFit="1" customWidth="1"/>
    <col min="7" max="7" width="10.90625" bestFit="1" customWidth="1"/>
  </cols>
  <sheetData>
    <row r="1" spans="1:7" x14ac:dyDescent="0.35">
      <c r="A1" s="18" t="s">
        <v>79</v>
      </c>
      <c r="B1" s="18"/>
      <c r="C1" s="18"/>
      <c r="D1" s="18"/>
      <c r="E1" s="18"/>
      <c r="F1" s="18"/>
      <c r="G1" s="18"/>
    </row>
    <row r="3" spans="1:7" ht="43.5" x14ac:dyDescent="0.35">
      <c r="A3" s="9" t="s">
        <v>1</v>
      </c>
      <c r="B3" s="10" t="s">
        <v>2</v>
      </c>
      <c r="C3" s="11" t="s">
        <v>93</v>
      </c>
      <c r="D3" s="12" t="s">
        <v>75</v>
      </c>
      <c r="E3" s="13" t="s">
        <v>74</v>
      </c>
      <c r="F3" s="14" t="s">
        <v>94</v>
      </c>
      <c r="G3" s="15" t="s">
        <v>92</v>
      </c>
    </row>
    <row r="4" spans="1:7" x14ac:dyDescent="0.35">
      <c r="A4" t="s">
        <v>80</v>
      </c>
      <c r="B4">
        <f>9*10</f>
        <v>90</v>
      </c>
      <c r="C4">
        <f>IF(B4&gt;80,B4-80,0)</f>
        <v>10</v>
      </c>
      <c r="D4" s="1">
        <v>10</v>
      </c>
      <c r="E4" s="1">
        <f>D4*B4</f>
        <v>900</v>
      </c>
      <c r="F4" s="1">
        <f>D4*C4*1.5</f>
        <v>150</v>
      </c>
      <c r="G4" s="1">
        <f>E4+F4</f>
        <v>1050</v>
      </c>
    </row>
    <row r="5" spans="1:7" x14ac:dyDescent="0.35">
      <c r="A5" t="s">
        <v>80</v>
      </c>
      <c r="B5">
        <f>8*10</f>
        <v>80</v>
      </c>
      <c r="C5">
        <f>IF(B5&gt;80,B5-80,0)</f>
        <v>0</v>
      </c>
      <c r="D5" s="1">
        <v>10</v>
      </c>
      <c r="E5" s="1">
        <f>D5*B5</f>
        <v>800</v>
      </c>
      <c r="F5" s="1">
        <f>D5*C5*1.5</f>
        <v>0</v>
      </c>
      <c r="G5" s="1">
        <f>E5+F5</f>
        <v>800</v>
      </c>
    </row>
    <row r="6" spans="1:7" x14ac:dyDescent="0.35">
      <c r="A6" t="s">
        <v>80</v>
      </c>
      <c r="B6">
        <f>8*10</f>
        <v>80</v>
      </c>
      <c r="C6">
        <f>IF(B6&gt;80,B6-80,0)</f>
        <v>0</v>
      </c>
      <c r="D6" s="1">
        <v>10</v>
      </c>
      <c r="E6" s="1">
        <f>D6*B6</f>
        <v>800</v>
      </c>
      <c r="F6" s="1">
        <f>D6*C6*1.5</f>
        <v>0</v>
      </c>
      <c r="G6" s="1">
        <f>E6+F6</f>
        <v>800</v>
      </c>
    </row>
    <row r="7" spans="1:7" x14ac:dyDescent="0.35">
      <c r="A7" t="s">
        <v>80</v>
      </c>
      <c r="B7">
        <f>8*10</f>
        <v>80</v>
      </c>
      <c r="C7">
        <f>IF(B7&gt;80,B7-80,0)</f>
        <v>0</v>
      </c>
      <c r="D7" s="1">
        <v>10</v>
      </c>
      <c r="E7" s="1">
        <f>D7*B7</f>
        <v>800</v>
      </c>
      <c r="F7" s="1">
        <f>D7*C7*1.5</f>
        <v>0</v>
      </c>
      <c r="G7" s="1">
        <f>E7+F7</f>
        <v>800</v>
      </c>
    </row>
    <row r="8" spans="1:7" x14ac:dyDescent="0.35">
      <c r="A8" t="s">
        <v>80</v>
      </c>
      <c r="B8">
        <f>8*10</f>
        <v>80</v>
      </c>
      <c r="C8">
        <f>IF(B8&gt;80,B8-80,0)</f>
        <v>0</v>
      </c>
      <c r="D8" s="1">
        <v>10</v>
      </c>
      <c r="E8" s="1">
        <f>D8*B8</f>
        <v>800</v>
      </c>
      <c r="F8" s="1">
        <f>D8*C8*1.5</f>
        <v>0</v>
      </c>
      <c r="G8" s="1">
        <f>E8+F8</f>
        <v>800</v>
      </c>
    </row>
    <row r="9" spans="1:7" x14ac:dyDescent="0.35">
      <c r="A9" t="s">
        <v>80</v>
      </c>
      <c r="B9">
        <f>8*10</f>
        <v>80</v>
      </c>
      <c r="C9">
        <f>IF(B9&gt;80,B9-80,0)</f>
        <v>0</v>
      </c>
      <c r="D9" s="1">
        <v>10</v>
      </c>
      <c r="E9" s="1">
        <f>D9*B9</f>
        <v>800</v>
      </c>
      <c r="F9" s="1">
        <f>D9*C9*1.5</f>
        <v>0</v>
      </c>
      <c r="G9" s="1">
        <f>E9+F9</f>
        <v>800</v>
      </c>
    </row>
    <row r="10" spans="1:7" x14ac:dyDescent="0.35">
      <c r="A10" t="s">
        <v>80</v>
      </c>
      <c r="B10">
        <f>8*10</f>
        <v>80</v>
      </c>
      <c r="C10">
        <f>IF(B10&gt;80,B10-80,0)</f>
        <v>0</v>
      </c>
      <c r="D10" s="1">
        <v>10</v>
      </c>
      <c r="E10" s="1">
        <f>D10*B10</f>
        <v>800</v>
      </c>
      <c r="F10" s="1">
        <f>D10*C10*1.5</f>
        <v>0</v>
      </c>
      <c r="G10" s="1">
        <f>E10+F10</f>
        <v>800</v>
      </c>
    </row>
    <row r="11" spans="1:7" x14ac:dyDescent="0.35">
      <c r="A11" t="s">
        <v>80</v>
      </c>
      <c r="B11">
        <f>8*10</f>
        <v>80</v>
      </c>
      <c r="C11">
        <f>IF(B11&gt;80,B11-80,0)</f>
        <v>0</v>
      </c>
      <c r="D11" s="1">
        <v>10</v>
      </c>
      <c r="E11" s="1">
        <f>D11*B11</f>
        <v>800</v>
      </c>
      <c r="F11" s="1">
        <f>D11*C11*1.5</f>
        <v>0</v>
      </c>
      <c r="G11" s="1">
        <f>E11+F11</f>
        <v>800</v>
      </c>
    </row>
    <row r="12" spans="1:7" x14ac:dyDescent="0.35">
      <c r="A12" t="s">
        <v>80</v>
      </c>
      <c r="B12">
        <f>8*10</f>
        <v>80</v>
      </c>
      <c r="C12">
        <f>IF(B12&gt;80,B12-80,0)</f>
        <v>0</v>
      </c>
      <c r="D12" s="1">
        <v>10</v>
      </c>
      <c r="E12" s="1">
        <f>D12*B12</f>
        <v>800</v>
      </c>
      <c r="F12" s="1">
        <f>D12*C12*1.5</f>
        <v>0</v>
      </c>
      <c r="G12" s="1">
        <f>E12+F12</f>
        <v>800</v>
      </c>
    </row>
    <row r="13" spans="1:7" x14ac:dyDescent="0.35">
      <c r="A13" t="s">
        <v>80</v>
      </c>
      <c r="B13">
        <f>8*10</f>
        <v>80</v>
      </c>
      <c r="C13">
        <f>IF(B13&gt;80,B13-80,0)</f>
        <v>0</v>
      </c>
      <c r="D13" s="1">
        <v>10</v>
      </c>
      <c r="E13" s="1">
        <f>D13*B13</f>
        <v>800</v>
      </c>
      <c r="F13" s="1">
        <f>D13*C13*1.5</f>
        <v>0</v>
      </c>
      <c r="G13" s="1">
        <f>E13+F13</f>
        <v>800</v>
      </c>
    </row>
    <row r="14" spans="1:7" x14ac:dyDescent="0.35">
      <c r="A14" t="s">
        <v>80</v>
      </c>
      <c r="B14">
        <f>8*10</f>
        <v>80</v>
      </c>
      <c r="C14">
        <f>IF(B14&gt;80,B14-80,0)</f>
        <v>0</v>
      </c>
      <c r="D14" s="1">
        <v>10</v>
      </c>
      <c r="E14" s="1">
        <f>D14*B14</f>
        <v>800</v>
      </c>
      <c r="F14" s="1">
        <f>D14*C14*1.5</f>
        <v>0</v>
      </c>
      <c r="G14" s="1">
        <f>E14+F14</f>
        <v>800</v>
      </c>
    </row>
    <row r="15" spans="1:7" x14ac:dyDescent="0.35">
      <c r="A15" t="s">
        <v>80</v>
      </c>
      <c r="B15">
        <f>8*10</f>
        <v>80</v>
      </c>
      <c r="C15">
        <f>IF(B15&gt;80,B15-80,0)</f>
        <v>0</v>
      </c>
      <c r="D15" s="1">
        <v>10</v>
      </c>
      <c r="E15" s="1">
        <f>D15*B15</f>
        <v>800</v>
      </c>
      <c r="F15" s="1">
        <f>D15*C15*1.5</f>
        <v>0</v>
      </c>
      <c r="G15" s="1">
        <f>E15+F15</f>
        <v>800</v>
      </c>
    </row>
    <row r="16" spans="1:7" x14ac:dyDescent="0.35">
      <c r="A16" t="s">
        <v>80</v>
      </c>
      <c r="B16">
        <f>8*10</f>
        <v>80</v>
      </c>
      <c r="C16">
        <f>IF(B16&gt;80,B16-80,0)</f>
        <v>0</v>
      </c>
      <c r="D16" s="1">
        <v>10</v>
      </c>
      <c r="E16" s="1">
        <f>D16*B16</f>
        <v>800</v>
      </c>
      <c r="F16" s="1">
        <f>D16*C16*1.5</f>
        <v>0</v>
      </c>
      <c r="G16" s="1">
        <f>E16+F16</f>
        <v>800</v>
      </c>
    </row>
    <row r="17" spans="1:7" x14ac:dyDescent="0.35">
      <c r="A17" t="s">
        <v>80</v>
      </c>
      <c r="B17">
        <f>8*10</f>
        <v>80</v>
      </c>
      <c r="C17">
        <f>IF(B17&gt;80,B17-80,0)</f>
        <v>0</v>
      </c>
      <c r="D17" s="1">
        <v>10</v>
      </c>
      <c r="E17" s="1">
        <f>D17*B17</f>
        <v>800</v>
      </c>
      <c r="F17" s="1">
        <f>D17*C17*1.5</f>
        <v>0</v>
      </c>
      <c r="G17" s="1">
        <f>E17+F17</f>
        <v>800</v>
      </c>
    </row>
    <row r="18" spans="1:7" x14ac:dyDescent="0.35">
      <c r="A18" t="s">
        <v>80</v>
      </c>
      <c r="B18">
        <f>8*10</f>
        <v>80</v>
      </c>
      <c r="C18">
        <f>IF(B18&gt;80,B18-80,0)</f>
        <v>0</v>
      </c>
      <c r="D18" s="1">
        <v>10</v>
      </c>
      <c r="E18" s="1">
        <f>D18*B18</f>
        <v>800</v>
      </c>
      <c r="F18" s="1">
        <f>D18*C18*1.5</f>
        <v>0</v>
      </c>
      <c r="G18" s="1">
        <f>E18+F18</f>
        <v>800</v>
      </c>
    </row>
    <row r="19" spans="1:7" x14ac:dyDescent="0.35">
      <c r="A19" t="s">
        <v>80</v>
      </c>
      <c r="B19">
        <f>8*10</f>
        <v>80</v>
      </c>
      <c r="C19">
        <f>IF(B19&gt;80,B19-80,0)</f>
        <v>0</v>
      </c>
      <c r="D19" s="1">
        <v>10</v>
      </c>
      <c r="E19" s="1">
        <f>D19*B19</f>
        <v>800</v>
      </c>
      <c r="F19" s="1">
        <f>D19*C19*1.5</f>
        <v>0</v>
      </c>
      <c r="G19" s="1">
        <f>E19+F19</f>
        <v>800</v>
      </c>
    </row>
    <row r="20" spans="1:7" x14ac:dyDescent="0.35">
      <c r="A20" t="s">
        <v>80</v>
      </c>
      <c r="B20">
        <f>8*10</f>
        <v>80</v>
      </c>
      <c r="C20">
        <f>IF(B20&gt;80,B20-80,0)</f>
        <v>0</v>
      </c>
      <c r="D20" s="1">
        <v>10</v>
      </c>
      <c r="E20" s="1">
        <f>D20*B20</f>
        <v>800</v>
      </c>
      <c r="F20" s="1">
        <f>D20*C20*1.5</f>
        <v>0</v>
      </c>
      <c r="G20" s="1">
        <f>E20+F20</f>
        <v>800</v>
      </c>
    </row>
    <row r="21" spans="1:7" x14ac:dyDescent="0.35">
      <c r="A21" t="s">
        <v>80</v>
      </c>
      <c r="B21">
        <f>8*10</f>
        <v>80</v>
      </c>
      <c r="C21">
        <f>IF(B21&gt;80,B21-80,0)</f>
        <v>0</v>
      </c>
      <c r="D21" s="1">
        <v>10</v>
      </c>
      <c r="E21" s="1">
        <f>D21*B21</f>
        <v>800</v>
      </c>
      <c r="F21" s="1">
        <f>D21*C21*1.5</f>
        <v>0</v>
      </c>
      <c r="G21" s="1">
        <f>E21+F21</f>
        <v>800</v>
      </c>
    </row>
    <row r="22" spans="1:7" x14ac:dyDescent="0.35">
      <c r="A22" t="s">
        <v>80</v>
      </c>
      <c r="B22">
        <f>8*10</f>
        <v>80</v>
      </c>
      <c r="C22">
        <f>IF(B22&gt;80,B22-80,0)</f>
        <v>0</v>
      </c>
      <c r="D22" s="1">
        <v>10</v>
      </c>
      <c r="E22" s="1">
        <f>D22*B22</f>
        <v>800</v>
      </c>
      <c r="F22" s="1">
        <f>D22*C22*1.5</f>
        <v>0</v>
      </c>
      <c r="G22" s="1">
        <f>E22+F22</f>
        <v>800</v>
      </c>
    </row>
    <row r="23" spans="1:7" x14ac:dyDescent="0.35">
      <c r="A23" t="s">
        <v>80</v>
      </c>
      <c r="B23">
        <f>8*10</f>
        <v>80</v>
      </c>
      <c r="C23">
        <f>IF(B23&gt;80,B23-80,0)</f>
        <v>0</v>
      </c>
      <c r="D23" s="1">
        <v>10</v>
      </c>
      <c r="E23" s="1">
        <f>D23*B23</f>
        <v>800</v>
      </c>
      <c r="F23" s="1">
        <f>D23*C23*1.5</f>
        <v>0</v>
      </c>
      <c r="G23" s="1">
        <f>E23+F23</f>
        <v>800</v>
      </c>
    </row>
    <row r="24" spans="1:7" x14ac:dyDescent="0.35">
      <c r="A24" t="s">
        <v>80</v>
      </c>
      <c r="B24">
        <f>8*10</f>
        <v>80</v>
      </c>
      <c r="C24">
        <f>IF(B24&gt;80,B24-80,0)</f>
        <v>0</v>
      </c>
      <c r="D24" s="1">
        <v>10</v>
      </c>
      <c r="E24" s="1">
        <f>D24*B24</f>
        <v>800</v>
      </c>
      <c r="F24" s="1">
        <f>D24*C24*1.5</f>
        <v>0</v>
      </c>
      <c r="G24" s="1">
        <f>E24+F24</f>
        <v>800</v>
      </c>
    </row>
    <row r="25" spans="1:7" x14ac:dyDescent="0.35">
      <c r="A25" t="s">
        <v>80</v>
      </c>
      <c r="B25">
        <f>8*10</f>
        <v>80</v>
      </c>
      <c r="C25">
        <f>IF(B25&gt;80,B25-80,0)</f>
        <v>0</v>
      </c>
      <c r="D25" s="1">
        <v>10</v>
      </c>
      <c r="E25" s="1">
        <f>D25*B25</f>
        <v>800</v>
      </c>
      <c r="F25" s="1">
        <f>D25*C25*1.5</f>
        <v>0</v>
      </c>
      <c r="G25" s="1">
        <f>E25+F25</f>
        <v>800</v>
      </c>
    </row>
    <row r="26" spans="1:7" x14ac:dyDescent="0.35">
      <c r="A26" t="s">
        <v>80</v>
      </c>
      <c r="B26">
        <f>8*10</f>
        <v>80</v>
      </c>
      <c r="C26">
        <f>IF(B26&gt;80,B26-80,0)</f>
        <v>0</v>
      </c>
      <c r="D26" s="1">
        <v>10</v>
      </c>
      <c r="E26" s="1">
        <f>D26*B26</f>
        <v>800</v>
      </c>
      <c r="F26" s="1">
        <f>D26*C26*1.5</f>
        <v>0</v>
      </c>
      <c r="G26" s="1">
        <f>E26+F26</f>
        <v>800</v>
      </c>
    </row>
    <row r="27" spans="1:7" x14ac:dyDescent="0.35">
      <c r="A27" t="s">
        <v>80</v>
      </c>
      <c r="B27">
        <f>8*10</f>
        <v>80</v>
      </c>
      <c r="C27">
        <f>IF(B27&gt;80,B27-80,0)</f>
        <v>0</v>
      </c>
      <c r="D27" s="1">
        <v>10</v>
      </c>
      <c r="E27" s="1">
        <f>D27*B27</f>
        <v>800</v>
      </c>
      <c r="F27" s="1">
        <f>D27*C27*1.5</f>
        <v>0</v>
      </c>
      <c r="G27" s="1">
        <f>E27+F27</f>
        <v>800</v>
      </c>
    </row>
    <row r="28" spans="1:7" x14ac:dyDescent="0.35">
      <c r="A28" t="s">
        <v>80</v>
      </c>
      <c r="B28">
        <f>8*10</f>
        <v>80</v>
      </c>
      <c r="C28">
        <f>IF(B28&gt;80,B28-80,0)</f>
        <v>0</v>
      </c>
      <c r="D28" s="1">
        <v>10</v>
      </c>
      <c r="E28" s="1">
        <f>D28*B28</f>
        <v>800</v>
      </c>
      <c r="F28" s="1">
        <f>D28*C28*1.5</f>
        <v>0</v>
      </c>
      <c r="G28" s="1">
        <f>E28+F28</f>
        <v>800</v>
      </c>
    </row>
    <row r="29" spans="1:7" x14ac:dyDescent="0.35">
      <c r="A29" t="s">
        <v>80</v>
      </c>
      <c r="B29">
        <f>8*10</f>
        <v>80</v>
      </c>
      <c r="C29">
        <f>IF(B29&gt;80,B29-80,0)</f>
        <v>0</v>
      </c>
      <c r="D29" s="1">
        <v>10</v>
      </c>
      <c r="E29" s="1">
        <f>D29*B29</f>
        <v>800</v>
      </c>
      <c r="F29" s="1">
        <f>D29*C29*1.5</f>
        <v>0</v>
      </c>
      <c r="G29" s="1">
        <f>E29+F29</f>
        <v>800</v>
      </c>
    </row>
    <row r="30" spans="1:7" x14ac:dyDescent="0.35">
      <c r="A30" t="s">
        <v>80</v>
      </c>
      <c r="B30">
        <f>8*10</f>
        <v>80</v>
      </c>
      <c r="C30">
        <f>IF(B30&gt;80,B30-80,0)</f>
        <v>0</v>
      </c>
      <c r="D30" s="1">
        <v>10</v>
      </c>
      <c r="E30" s="1">
        <f>D30*B30</f>
        <v>800</v>
      </c>
      <c r="F30" s="1">
        <f>D30*C30*1.5</f>
        <v>0</v>
      </c>
      <c r="G30" s="1">
        <f>E30+F30</f>
        <v>800</v>
      </c>
    </row>
    <row r="31" spans="1:7" x14ac:dyDescent="0.35">
      <c r="A31" t="s">
        <v>80</v>
      </c>
      <c r="B31">
        <f>8*10</f>
        <v>80</v>
      </c>
      <c r="C31">
        <f>IF(B31&gt;80,B31-80,0)</f>
        <v>0</v>
      </c>
      <c r="D31" s="1">
        <v>10</v>
      </c>
      <c r="E31" s="1">
        <f>D31*B31</f>
        <v>800</v>
      </c>
      <c r="F31" s="1">
        <f>D31*C31*1.5</f>
        <v>0</v>
      </c>
      <c r="G31" s="1">
        <f>E31+F31</f>
        <v>800</v>
      </c>
    </row>
    <row r="32" spans="1:7" x14ac:dyDescent="0.35">
      <c r="A32" t="s">
        <v>80</v>
      </c>
      <c r="B32">
        <f>8*10</f>
        <v>80</v>
      </c>
      <c r="C32">
        <f>IF(B32&gt;80,B32-80,0)</f>
        <v>0</v>
      </c>
      <c r="D32" s="1">
        <v>10</v>
      </c>
      <c r="E32" s="1">
        <f>D32*B32</f>
        <v>800</v>
      </c>
      <c r="F32" s="1">
        <f>D32*C32*1.5</f>
        <v>0</v>
      </c>
      <c r="G32" s="1">
        <f>E32+F32</f>
        <v>800</v>
      </c>
    </row>
    <row r="33" spans="1:7" x14ac:dyDescent="0.35">
      <c r="A33" t="s">
        <v>80</v>
      </c>
      <c r="B33">
        <f>8*10</f>
        <v>80</v>
      </c>
      <c r="C33">
        <f>IF(B33&gt;80,B33-80,0)</f>
        <v>0</v>
      </c>
      <c r="D33" s="1">
        <v>10</v>
      </c>
      <c r="E33" s="1">
        <f>D33*B33</f>
        <v>800</v>
      </c>
      <c r="F33" s="1">
        <f>D33*C33*1.5</f>
        <v>0</v>
      </c>
      <c r="G33" s="1">
        <f>E33+F33</f>
        <v>800</v>
      </c>
    </row>
    <row r="34" spans="1:7" x14ac:dyDescent="0.35">
      <c r="A34" t="s">
        <v>80</v>
      </c>
      <c r="B34">
        <f>8*10</f>
        <v>80</v>
      </c>
      <c r="C34">
        <f>IF(B34&gt;80,B34-80,0)</f>
        <v>0</v>
      </c>
      <c r="D34" s="1">
        <v>10</v>
      </c>
      <c r="E34" s="1">
        <f>D34*B34</f>
        <v>800</v>
      </c>
      <c r="F34" s="1">
        <f>D34*C34*1.5</f>
        <v>0</v>
      </c>
      <c r="G34" s="1">
        <f>E34+F34</f>
        <v>800</v>
      </c>
    </row>
    <row r="35" spans="1:7" x14ac:dyDescent="0.35">
      <c r="A35" t="s">
        <v>80</v>
      </c>
      <c r="B35">
        <f>8*10</f>
        <v>80</v>
      </c>
      <c r="C35">
        <f>IF(B35&gt;80,B35-80,0)</f>
        <v>0</v>
      </c>
      <c r="D35" s="1">
        <v>10</v>
      </c>
      <c r="E35" s="1">
        <f>D35*B35</f>
        <v>800</v>
      </c>
      <c r="F35" s="1">
        <f>D35*C35*1.5</f>
        <v>0</v>
      </c>
      <c r="G35" s="1">
        <f>E35+F35</f>
        <v>800</v>
      </c>
    </row>
    <row r="36" spans="1:7" x14ac:dyDescent="0.35">
      <c r="A36" t="s">
        <v>80</v>
      </c>
      <c r="B36">
        <f>8*10</f>
        <v>80</v>
      </c>
      <c r="C36">
        <f>IF(B36&gt;80,B36-80,0)</f>
        <v>0</v>
      </c>
      <c r="D36" s="1">
        <v>10</v>
      </c>
      <c r="E36" s="1">
        <f>D36*B36</f>
        <v>800</v>
      </c>
      <c r="F36" s="1">
        <f>D36*C36*1.5</f>
        <v>0</v>
      </c>
      <c r="G36" s="1">
        <f>E36+F36</f>
        <v>800</v>
      </c>
    </row>
    <row r="37" spans="1:7" x14ac:dyDescent="0.35">
      <c r="A37" t="s">
        <v>80</v>
      </c>
      <c r="B37">
        <f>8*10</f>
        <v>80</v>
      </c>
      <c r="C37">
        <f>IF(B37&gt;80,B37-80,0)</f>
        <v>0</v>
      </c>
      <c r="D37" s="1">
        <v>10</v>
      </c>
      <c r="E37" s="1">
        <f>D37*B37</f>
        <v>800</v>
      </c>
      <c r="F37" s="1">
        <f>D37*C37*1.5</f>
        <v>0</v>
      </c>
      <c r="G37" s="1">
        <f>E37+F37</f>
        <v>800</v>
      </c>
    </row>
    <row r="38" spans="1:7" x14ac:dyDescent="0.35">
      <c r="A38" t="s">
        <v>80</v>
      </c>
      <c r="B38">
        <f>8*10</f>
        <v>80</v>
      </c>
      <c r="C38">
        <f>IF(B38&gt;80,B38-80,0)</f>
        <v>0</v>
      </c>
      <c r="D38" s="1">
        <v>10</v>
      </c>
      <c r="E38" s="1">
        <f>D38*B38</f>
        <v>800</v>
      </c>
      <c r="F38" s="1">
        <f>D38*C38*1.5</f>
        <v>0</v>
      </c>
      <c r="G38" s="1">
        <f>E38+F38</f>
        <v>800</v>
      </c>
    </row>
    <row r="39" spans="1:7" x14ac:dyDescent="0.35">
      <c r="A39" t="s">
        <v>80</v>
      </c>
      <c r="B39">
        <f>8*10</f>
        <v>80</v>
      </c>
      <c r="C39">
        <f>IF(B39&gt;80,B39-80,0)</f>
        <v>0</v>
      </c>
      <c r="D39" s="1">
        <v>10</v>
      </c>
      <c r="E39" s="1">
        <f>D39*B39</f>
        <v>800</v>
      </c>
      <c r="F39" s="1">
        <f>D39*C39*1.5</f>
        <v>0</v>
      </c>
      <c r="G39" s="1">
        <f>E39+F39</f>
        <v>800</v>
      </c>
    </row>
    <row r="40" spans="1:7" x14ac:dyDescent="0.35">
      <c r="A40" t="s">
        <v>80</v>
      </c>
      <c r="B40">
        <f>8*10</f>
        <v>80</v>
      </c>
      <c r="C40">
        <f>IF(B40&gt;80,B40-80,0)</f>
        <v>0</v>
      </c>
      <c r="D40" s="1">
        <v>10</v>
      </c>
      <c r="E40" s="1">
        <f>D40*B40</f>
        <v>800</v>
      </c>
      <c r="F40" s="1">
        <f>D40*C40*1.5</f>
        <v>0</v>
      </c>
      <c r="G40" s="1">
        <f>E40+F40</f>
        <v>800</v>
      </c>
    </row>
    <row r="41" spans="1:7" x14ac:dyDescent="0.35">
      <c r="A41" t="s">
        <v>80</v>
      </c>
      <c r="B41">
        <f>8*10</f>
        <v>80</v>
      </c>
      <c r="C41">
        <f>IF(B41&gt;80,B41-80,0)</f>
        <v>0</v>
      </c>
      <c r="D41" s="1">
        <v>10</v>
      </c>
      <c r="E41" s="1">
        <f>D41*B41</f>
        <v>800</v>
      </c>
      <c r="F41" s="1">
        <f>D41*C41*1.5</f>
        <v>0</v>
      </c>
      <c r="G41" s="1">
        <f>E41+F41</f>
        <v>800</v>
      </c>
    </row>
    <row r="42" spans="1:7" x14ac:dyDescent="0.35">
      <c r="A42" t="s">
        <v>80</v>
      </c>
      <c r="B42">
        <f>8*10</f>
        <v>80</v>
      </c>
      <c r="C42">
        <f>IF(B42&gt;80,B42-80,0)</f>
        <v>0</v>
      </c>
      <c r="D42" s="1">
        <v>10</v>
      </c>
      <c r="E42" s="1">
        <f>D42*B42</f>
        <v>800</v>
      </c>
      <c r="F42" s="1">
        <f>D42*C42*1.5</f>
        <v>0</v>
      </c>
      <c r="G42" s="1">
        <f>E42+F42</f>
        <v>800</v>
      </c>
    </row>
    <row r="43" spans="1:7" x14ac:dyDescent="0.35">
      <c r="A43" t="s">
        <v>80</v>
      </c>
      <c r="B43">
        <f>8*10</f>
        <v>80</v>
      </c>
      <c r="C43">
        <f>IF(B43&gt;80,B43-80,0)</f>
        <v>0</v>
      </c>
      <c r="D43" s="1">
        <v>10</v>
      </c>
      <c r="E43" s="1">
        <f>D43*B43</f>
        <v>800</v>
      </c>
      <c r="F43" s="1">
        <f>D43*C43*1.5</f>
        <v>0</v>
      </c>
      <c r="G43" s="1">
        <f>E43+F43</f>
        <v>800</v>
      </c>
    </row>
    <row r="44" spans="1:7" x14ac:dyDescent="0.35">
      <c r="A44" t="s">
        <v>80</v>
      </c>
      <c r="B44">
        <f>8*10</f>
        <v>80</v>
      </c>
      <c r="C44">
        <f>IF(B44&gt;80,B44-80,0)</f>
        <v>0</v>
      </c>
      <c r="D44" s="1">
        <v>10</v>
      </c>
      <c r="E44" s="1">
        <f>D44*B44</f>
        <v>800</v>
      </c>
      <c r="F44" s="1">
        <f>D44*C44*1.5</f>
        <v>0</v>
      </c>
      <c r="G44" s="1">
        <f>E44+F44</f>
        <v>800</v>
      </c>
    </row>
    <row r="45" spans="1:7" x14ac:dyDescent="0.35">
      <c r="A45" t="s">
        <v>80</v>
      </c>
      <c r="B45">
        <f>8*10</f>
        <v>80</v>
      </c>
      <c r="C45">
        <f>IF(B45&gt;80,B45-80,0)</f>
        <v>0</v>
      </c>
      <c r="D45" s="1">
        <v>10</v>
      </c>
      <c r="E45" s="1">
        <f>D45*B45</f>
        <v>800</v>
      </c>
      <c r="F45" s="1">
        <f>D45*C45*1.5</f>
        <v>0</v>
      </c>
      <c r="G45" s="1">
        <f>E45+F45</f>
        <v>800</v>
      </c>
    </row>
    <row r="46" spans="1:7" x14ac:dyDescent="0.35">
      <c r="A46" t="s">
        <v>80</v>
      </c>
      <c r="B46">
        <f>8*10</f>
        <v>80</v>
      </c>
      <c r="C46">
        <f>IF(B46&gt;80,B46-80,0)</f>
        <v>0</v>
      </c>
      <c r="D46" s="1">
        <v>10</v>
      </c>
      <c r="E46" s="1">
        <f>D46*B46</f>
        <v>800</v>
      </c>
      <c r="F46" s="1">
        <f>D46*C46*1.5</f>
        <v>0</v>
      </c>
      <c r="G46" s="1">
        <f>E46+F46</f>
        <v>800</v>
      </c>
    </row>
    <row r="47" spans="1:7" x14ac:dyDescent="0.35">
      <c r="A47" t="s">
        <v>80</v>
      </c>
      <c r="B47">
        <f>8*10</f>
        <v>80</v>
      </c>
      <c r="C47">
        <f>IF(B47&gt;80,B47-80,0)</f>
        <v>0</v>
      </c>
      <c r="D47" s="1">
        <v>10</v>
      </c>
      <c r="E47" s="1">
        <f>D47*B47</f>
        <v>800</v>
      </c>
      <c r="F47" s="1">
        <f>D47*C47*1.5</f>
        <v>0</v>
      </c>
      <c r="G47" s="1">
        <f>E47+F47</f>
        <v>800</v>
      </c>
    </row>
    <row r="48" spans="1:7" x14ac:dyDescent="0.35">
      <c r="A48" t="s">
        <v>80</v>
      </c>
      <c r="B48">
        <f>8*10</f>
        <v>80</v>
      </c>
      <c r="C48">
        <f>IF(B48&gt;80,B48-80,0)</f>
        <v>0</v>
      </c>
      <c r="D48" s="1">
        <v>10</v>
      </c>
      <c r="E48" s="1">
        <f>D48*B48</f>
        <v>800</v>
      </c>
      <c r="F48" s="1">
        <f>D48*C48*1.5</f>
        <v>0</v>
      </c>
      <c r="G48" s="1">
        <f>E48+F48</f>
        <v>800</v>
      </c>
    </row>
    <row r="49" spans="1:7" x14ac:dyDescent="0.35">
      <c r="A49" t="s">
        <v>80</v>
      </c>
      <c r="B49">
        <f>8*10</f>
        <v>80</v>
      </c>
      <c r="C49">
        <f>IF(B49&gt;80,B49-80,0)</f>
        <v>0</v>
      </c>
      <c r="D49" s="1">
        <v>10</v>
      </c>
      <c r="E49" s="1">
        <f>D49*B49</f>
        <v>800</v>
      </c>
      <c r="F49" s="1">
        <f>D49*C49*1.5</f>
        <v>0</v>
      </c>
      <c r="G49" s="1">
        <f>E49+F49</f>
        <v>800</v>
      </c>
    </row>
    <row r="50" spans="1:7" x14ac:dyDescent="0.35">
      <c r="A50" t="s">
        <v>80</v>
      </c>
      <c r="B50">
        <f>8*10</f>
        <v>80</v>
      </c>
      <c r="C50">
        <f>IF(B50&gt;80,B50-80,0)</f>
        <v>0</v>
      </c>
      <c r="D50" s="1">
        <v>10</v>
      </c>
      <c r="E50" s="1">
        <f>D50*B50</f>
        <v>800</v>
      </c>
      <c r="F50" s="1">
        <f>D50*C50*1.5</f>
        <v>0</v>
      </c>
      <c r="G50" s="1">
        <f>E50+F50</f>
        <v>800</v>
      </c>
    </row>
    <row r="51" spans="1:7" x14ac:dyDescent="0.35">
      <c r="A51" t="s">
        <v>80</v>
      </c>
      <c r="B51">
        <f>8*10</f>
        <v>80</v>
      </c>
      <c r="C51">
        <f>IF(B51&gt;80,B51-80,0)</f>
        <v>0</v>
      </c>
      <c r="D51" s="1">
        <v>10</v>
      </c>
      <c r="E51" s="1">
        <f>D51*B51</f>
        <v>800</v>
      </c>
      <c r="F51" s="1">
        <f>D51*C51*1.5</f>
        <v>0</v>
      </c>
      <c r="G51" s="1">
        <f>E51+F51</f>
        <v>800</v>
      </c>
    </row>
    <row r="52" spans="1:7" x14ac:dyDescent="0.35">
      <c r="A52" t="s">
        <v>80</v>
      </c>
      <c r="B52">
        <f>8*10</f>
        <v>80</v>
      </c>
      <c r="C52">
        <f>IF(B52&gt;80,B52-80,0)</f>
        <v>0</v>
      </c>
      <c r="D52" s="1">
        <v>10</v>
      </c>
      <c r="E52" s="1">
        <f>D52*B52</f>
        <v>800</v>
      </c>
      <c r="F52" s="1">
        <f>D52*C52*1.5</f>
        <v>0</v>
      </c>
      <c r="G52" s="1">
        <f>E52+F52</f>
        <v>800</v>
      </c>
    </row>
    <row r="53" spans="1:7" x14ac:dyDescent="0.35">
      <c r="A53" t="s">
        <v>80</v>
      </c>
      <c r="B53">
        <f>8*10</f>
        <v>80</v>
      </c>
      <c r="C53">
        <f>IF(B53&gt;80,B53-80,0)</f>
        <v>0</v>
      </c>
      <c r="D53" s="1">
        <v>10</v>
      </c>
      <c r="E53" s="1">
        <f>D53*B53</f>
        <v>800</v>
      </c>
      <c r="F53" s="1">
        <f>D53*C53*1.5</f>
        <v>0</v>
      </c>
      <c r="G53" s="1">
        <f>E53+F53</f>
        <v>800</v>
      </c>
    </row>
    <row r="55" spans="1:7" x14ac:dyDescent="0.35">
      <c r="A55" t="s">
        <v>88</v>
      </c>
      <c r="B55" s="5">
        <f>MAX(B4:B53)</f>
        <v>90</v>
      </c>
      <c r="C55">
        <f>MAX(C4:C53)</f>
        <v>10</v>
      </c>
      <c r="E55" s="1">
        <f>MAX(E4:E53)</f>
        <v>900</v>
      </c>
      <c r="F55" s="1"/>
      <c r="G55" s="1">
        <f>MAX(G4:G53)</f>
        <v>1050</v>
      </c>
    </row>
    <row r="56" spans="1:7" x14ac:dyDescent="0.35">
      <c r="A56" t="s">
        <v>89</v>
      </c>
      <c r="B56">
        <f>MIN(B4:B53)</f>
        <v>80</v>
      </c>
      <c r="C56">
        <f>MIN(C4:C53)</f>
        <v>0</v>
      </c>
      <c r="E56" s="1">
        <f>MIN(E4:E53)</f>
        <v>800</v>
      </c>
      <c r="F56" s="5"/>
      <c r="G56" s="1">
        <f>MIN(G4:G53)</f>
        <v>800</v>
      </c>
    </row>
    <row r="57" spans="1:7" x14ac:dyDescent="0.35">
      <c r="A57" t="s">
        <v>90</v>
      </c>
      <c r="B57">
        <f>SUM(B4:B53)</f>
        <v>4010</v>
      </c>
      <c r="C57">
        <f>SUMIF(C4:C53,"&gt;1")</f>
        <v>10</v>
      </c>
      <c r="E57" s="1">
        <f>SUM(E4:E53)</f>
        <v>40100</v>
      </c>
      <c r="F57" s="5"/>
      <c r="G57" s="1">
        <f>SUM(G4:G53)</f>
        <v>40250</v>
      </c>
    </row>
    <row r="58" spans="1:7" x14ac:dyDescent="0.35">
      <c r="A58" t="s">
        <v>91</v>
      </c>
      <c r="B58">
        <f>AVERAGE(B4:B53)</f>
        <v>80.2</v>
      </c>
      <c r="C58">
        <f>AVERAGE(C4:C53)</f>
        <v>0.2</v>
      </c>
      <c r="E58" s="1">
        <f>AVERAGE(E4:E53)</f>
        <v>802</v>
      </c>
      <c r="F58" s="5"/>
      <c r="G58" s="1">
        <f>AVERAGE(G4:G53)</f>
        <v>805</v>
      </c>
    </row>
  </sheetData>
  <mergeCells count="1">
    <mergeCell ref="A1:G1"/>
  </mergeCells>
  <conditionalFormatting sqref="G4:G53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7D19A-68DA-47FE-8889-242669C2F0D8}">
  <dimension ref="A1:G58"/>
  <sheetViews>
    <sheetView topLeftCell="S1" workbookViewId="0">
      <selection activeCell="B57" sqref="B57"/>
    </sheetView>
  </sheetViews>
  <sheetFormatPr defaultRowHeight="14.5" x14ac:dyDescent="0.35"/>
  <cols>
    <col min="1" max="1" width="12.08984375" bestFit="1" customWidth="1"/>
    <col min="2" max="2" width="7.453125" bestFit="1" customWidth="1"/>
    <col min="3" max="3" width="8.54296875" bestFit="1" customWidth="1"/>
    <col min="4" max="4" width="7.453125" bestFit="1" customWidth="1"/>
    <col min="5" max="5" width="9.90625" bestFit="1" customWidth="1"/>
    <col min="6" max="6" width="8.54296875" bestFit="1" customWidth="1"/>
    <col min="7" max="7" width="9.90625" bestFit="1" customWidth="1"/>
  </cols>
  <sheetData>
    <row r="1" spans="1:7" x14ac:dyDescent="0.35">
      <c r="A1" s="18" t="s">
        <v>82</v>
      </c>
      <c r="B1" s="18"/>
      <c r="C1" s="18"/>
      <c r="D1" s="18"/>
      <c r="E1" s="18"/>
      <c r="F1" s="18"/>
      <c r="G1" s="18"/>
    </row>
    <row r="3" spans="1:7" ht="43.5" x14ac:dyDescent="0.35">
      <c r="A3" s="9" t="s">
        <v>1</v>
      </c>
      <c r="B3" s="10" t="s">
        <v>2</v>
      </c>
      <c r="C3" s="11" t="s">
        <v>93</v>
      </c>
      <c r="D3" s="12" t="s">
        <v>75</v>
      </c>
      <c r="E3" s="13" t="s">
        <v>74</v>
      </c>
      <c r="F3" s="14" t="s">
        <v>94</v>
      </c>
      <c r="G3" s="15" t="s">
        <v>92</v>
      </c>
    </row>
    <row r="4" spans="1:7" x14ac:dyDescent="0.35">
      <c r="A4" t="s">
        <v>81</v>
      </c>
      <c r="B4">
        <f>2*8</f>
        <v>16</v>
      </c>
      <c r="C4">
        <f>IF(B4&gt;16,B4-16,0)</f>
        <v>0</v>
      </c>
      <c r="D4" s="1">
        <v>10</v>
      </c>
      <c r="E4" s="1">
        <f>D4*B4</f>
        <v>160</v>
      </c>
      <c r="F4" s="1">
        <f>D4*C4*1.5</f>
        <v>0</v>
      </c>
      <c r="G4" s="1">
        <f>E4+F4</f>
        <v>160</v>
      </c>
    </row>
    <row r="5" spans="1:7" x14ac:dyDescent="0.35">
      <c r="A5" t="s">
        <v>81</v>
      </c>
      <c r="B5">
        <f>2*9</f>
        <v>18</v>
      </c>
      <c r="C5">
        <f>IF(B5&gt;16,B5-16,0)</f>
        <v>2</v>
      </c>
      <c r="D5" s="1">
        <v>10</v>
      </c>
      <c r="E5" s="1">
        <f>D5*B5</f>
        <v>180</v>
      </c>
      <c r="F5" s="1">
        <f>D5*C5*1.5</f>
        <v>30</v>
      </c>
      <c r="G5" s="1">
        <f>E5+F5</f>
        <v>210</v>
      </c>
    </row>
    <row r="6" spans="1:7" x14ac:dyDescent="0.35">
      <c r="A6" t="s">
        <v>81</v>
      </c>
      <c r="B6">
        <v>14</v>
      </c>
      <c r="C6">
        <f>IF(B6&gt;16,B6-16,0)</f>
        <v>0</v>
      </c>
      <c r="D6" s="1">
        <v>10</v>
      </c>
      <c r="E6" s="1">
        <f>D6*B6</f>
        <v>140</v>
      </c>
      <c r="F6" s="1">
        <f>D6*C6*1.5</f>
        <v>0</v>
      </c>
      <c r="G6" s="1">
        <f>E6+F6</f>
        <v>140</v>
      </c>
    </row>
    <row r="7" spans="1:7" x14ac:dyDescent="0.35">
      <c r="A7" t="s">
        <v>81</v>
      </c>
      <c r="B7">
        <v>20</v>
      </c>
      <c r="C7">
        <f>IF(B7&gt;16,B7-16,0)</f>
        <v>4</v>
      </c>
      <c r="D7" s="1">
        <v>10</v>
      </c>
      <c r="E7" s="1">
        <f>D7*B7</f>
        <v>200</v>
      </c>
      <c r="F7" s="1">
        <f>D7*C7*1.5</f>
        <v>60</v>
      </c>
      <c r="G7" s="1">
        <f>E7+F7</f>
        <v>260</v>
      </c>
    </row>
    <row r="8" spans="1:7" x14ac:dyDescent="0.35">
      <c r="A8" t="s">
        <v>81</v>
      </c>
      <c r="B8">
        <v>20</v>
      </c>
      <c r="C8">
        <f>IF(B8&gt;16,B8-16,0)</f>
        <v>4</v>
      </c>
      <c r="D8" s="1">
        <v>10</v>
      </c>
      <c r="E8" s="1">
        <f>D8*B8</f>
        <v>200</v>
      </c>
      <c r="F8" s="1">
        <f>D8*C8*1.5</f>
        <v>60</v>
      </c>
      <c r="G8" s="1">
        <f>E8+F8</f>
        <v>260</v>
      </c>
    </row>
    <row r="9" spans="1:7" x14ac:dyDescent="0.35">
      <c r="A9" t="s">
        <v>81</v>
      </c>
      <c r="B9">
        <v>22</v>
      </c>
      <c r="C9">
        <f>IF(B9&gt;16,B9-16,0)</f>
        <v>6</v>
      </c>
      <c r="D9" s="1">
        <v>10</v>
      </c>
      <c r="E9" s="1">
        <f>D9*B9</f>
        <v>220</v>
      </c>
      <c r="F9" s="1">
        <f>D9*C9*1.5</f>
        <v>90</v>
      </c>
      <c r="G9" s="1">
        <f>E9+F9</f>
        <v>310</v>
      </c>
    </row>
    <row r="10" spans="1:7" x14ac:dyDescent="0.35">
      <c r="A10" t="s">
        <v>81</v>
      </c>
      <c r="B10">
        <v>18</v>
      </c>
      <c r="C10">
        <f>IF(B10&gt;16,B10-16,0)</f>
        <v>2</v>
      </c>
      <c r="D10" s="1">
        <v>10</v>
      </c>
      <c r="E10" s="1">
        <f>D10*B10</f>
        <v>180</v>
      </c>
      <c r="F10" s="1">
        <f>D10*C10*1.5</f>
        <v>30</v>
      </c>
      <c r="G10" s="1">
        <f>E10+F10</f>
        <v>210</v>
      </c>
    </row>
    <row r="11" spans="1:7" x14ac:dyDescent="0.35">
      <c r="A11" t="s">
        <v>81</v>
      </c>
      <c r="B11">
        <v>18</v>
      </c>
      <c r="C11">
        <f>IF(B11&gt;16,B11-16,0)</f>
        <v>2</v>
      </c>
      <c r="D11" s="1">
        <v>10</v>
      </c>
      <c r="E11" s="1">
        <f>D11*B11</f>
        <v>180</v>
      </c>
      <c r="F11" s="1">
        <f>D11*C11*1.5</f>
        <v>30</v>
      </c>
      <c r="G11" s="1">
        <f>E11+F11</f>
        <v>210</v>
      </c>
    </row>
    <row r="12" spans="1:7" x14ac:dyDescent="0.35">
      <c r="A12" t="s">
        <v>81</v>
      </c>
      <c r="B12">
        <v>18</v>
      </c>
      <c r="C12">
        <f>IF(B12&gt;16,B12-16,0)</f>
        <v>2</v>
      </c>
      <c r="D12" s="1">
        <v>10</v>
      </c>
      <c r="E12" s="1">
        <f>D12*B12</f>
        <v>180</v>
      </c>
      <c r="F12" s="1">
        <f>D12*C12*1.5</f>
        <v>30</v>
      </c>
      <c r="G12" s="1">
        <f>E12+F12</f>
        <v>210</v>
      </c>
    </row>
    <row r="13" spans="1:7" x14ac:dyDescent="0.35">
      <c r="A13" t="s">
        <v>81</v>
      </c>
      <c r="B13">
        <v>18</v>
      </c>
      <c r="C13">
        <f>IF(B13&gt;16,B13-16,0)</f>
        <v>2</v>
      </c>
      <c r="D13" s="1">
        <v>10</v>
      </c>
      <c r="E13" s="1">
        <f>D13*B13</f>
        <v>180</v>
      </c>
      <c r="F13" s="1">
        <f>D13*C13*1.5</f>
        <v>30</v>
      </c>
      <c r="G13" s="1">
        <f>E13+F13</f>
        <v>210</v>
      </c>
    </row>
    <row r="14" spans="1:7" x14ac:dyDescent="0.35">
      <c r="A14" t="s">
        <v>81</v>
      </c>
      <c r="B14">
        <v>18</v>
      </c>
      <c r="C14">
        <f>IF(B14&gt;16,B14-16,0)</f>
        <v>2</v>
      </c>
      <c r="D14" s="1">
        <v>10</v>
      </c>
      <c r="E14" s="1">
        <f>D14*B14</f>
        <v>180</v>
      </c>
      <c r="F14" s="1">
        <f>D14*C14*1.5</f>
        <v>30</v>
      </c>
      <c r="G14" s="1">
        <f>E14+F14</f>
        <v>210</v>
      </c>
    </row>
    <row r="15" spans="1:7" x14ac:dyDescent="0.35">
      <c r="A15" t="s">
        <v>81</v>
      </c>
      <c r="B15">
        <v>16</v>
      </c>
      <c r="C15">
        <f>IF(B15&gt;16,B15-16,0)</f>
        <v>0</v>
      </c>
      <c r="D15" s="1">
        <v>10</v>
      </c>
      <c r="E15" s="1">
        <f>D15*B15</f>
        <v>160</v>
      </c>
      <c r="F15" s="1">
        <f>D15*C15*1.5</f>
        <v>0</v>
      </c>
      <c r="G15" s="1">
        <f>E15+F15</f>
        <v>160</v>
      </c>
    </row>
    <row r="16" spans="1:7" x14ac:dyDescent="0.35">
      <c r="A16" t="s">
        <v>81</v>
      </c>
      <c r="B16">
        <v>16</v>
      </c>
      <c r="C16">
        <f>IF(B16&gt;16,B16-16,0)</f>
        <v>0</v>
      </c>
      <c r="D16" s="1">
        <v>10</v>
      </c>
      <c r="E16" s="1">
        <f>D16*B16</f>
        <v>160</v>
      </c>
      <c r="F16" s="1">
        <f>D16*C16*1.5</f>
        <v>0</v>
      </c>
      <c r="G16" s="1">
        <f>E16+F16</f>
        <v>160</v>
      </c>
    </row>
    <row r="17" spans="1:7" x14ac:dyDescent="0.35">
      <c r="A17" t="s">
        <v>81</v>
      </c>
      <c r="B17">
        <v>16</v>
      </c>
      <c r="C17">
        <f>IF(B17&gt;16,B17-16,0)</f>
        <v>0</v>
      </c>
      <c r="D17" s="1">
        <v>10</v>
      </c>
      <c r="E17" s="1">
        <f>D17*B17</f>
        <v>160</v>
      </c>
      <c r="F17" s="1">
        <f>D17*C17*1.5</f>
        <v>0</v>
      </c>
      <c r="G17" s="1">
        <f>E17+F17</f>
        <v>160</v>
      </c>
    </row>
    <row r="18" spans="1:7" x14ac:dyDescent="0.35">
      <c r="A18" t="s">
        <v>81</v>
      </c>
      <c r="B18">
        <v>16</v>
      </c>
      <c r="C18">
        <f>IF(B18&gt;16,B18-16,0)</f>
        <v>0</v>
      </c>
      <c r="D18" s="1">
        <v>10</v>
      </c>
      <c r="E18" s="1">
        <f>D18*B18</f>
        <v>160</v>
      </c>
      <c r="F18" s="1">
        <f>D18*C18*1.5</f>
        <v>0</v>
      </c>
      <c r="G18" s="1">
        <f>E18+F18</f>
        <v>160</v>
      </c>
    </row>
    <row r="19" spans="1:7" x14ac:dyDescent="0.35">
      <c r="A19" t="s">
        <v>81</v>
      </c>
      <c r="B19">
        <v>16</v>
      </c>
      <c r="C19">
        <f>IF(B19&gt;16,B19-16,0)</f>
        <v>0</v>
      </c>
      <c r="D19" s="1">
        <v>10</v>
      </c>
      <c r="E19" s="1">
        <f>D19*B19</f>
        <v>160</v>
      </c>
      <c r="F19" s="1">
        <f>D19*C19*1.5</f>
        <v>0</v>
      </c>
      <c r="G19" s="1">
        <f>E19+F19</f>
        <v>160</v>
      </c>
    </row>
    <row r="20" spans="1:7" x14ac:dyDescent="0.35">
      <c r="A20" t="s">
        <v>81</v>
      </c>
      <c r="B20">
        <v>16</v>
      </c>
      <c r="C20">
        <f>IF(B20&gt;16,B20-16,0)</f>
        <v>0</v>
      </c>
      <c r="D20" s="1">
        <v>10</v>
      </c>
      <c r="E20" s="1">
        <f>D20*B20</f>
        <v>160</v>
      </c>
      <c r="F20" s="1">
        <f>D20*C20*1.5</f>
        <v>0</v>
      </c>
      <c r="G20" s="1">
        <f>E20+F20</f>
        <v>160</v>
      </c>
    </row>
    <row r="21" spans="1:7" x14ac:dyDescent="0.35">
      <c r="A21" t="s">
        <v>81</v>
      </c>
      <c r="B21">
        <v>16</v>
      </c>
      <c r="C21">
        <f>IF(B21&gt;16,B21-16,0)</f>
        <v>0</v>
      </c>
      <c r="D21" s="1">
        <v>10</v>
      </c>
      <c r="E21" s="1">
        <f>D21*B21</f>
        <v>160</v>
      </c>
      <c r="F21" s="1">
        <f>D21*C21*1.5</f>
        <v>0</v>
      </c>
      <c r="G21" s="1">
        <f>E21+F21</f>
        <v>160</v>
      </c>
    </row>
    <row r="22" spans="1:7" x14ac:dyDescent="0.35">
      <c r="A22" t="s">
        <v>81</v>
      </c>
      <c r="B22">
        <v>16</v>
      </c>
      <c r="C22">
        <f>IF(B22&gt;16,B22-16,0)</f>
        <v>0</v>
      </c>
      <c r="D22" s="1">
        <v>10</v>
      </c>
      <c r="E22" s="1">
        <f>D22*B22</f>
        <v>160</v>
      </c>
      <c r="F22" s="1">
        <f>D22*C22*1.5</f>
        <v>0</v>
      </c>
      <c r="G22" s="1">
        <f>E22+F22</f>
        <v>160</v>
      </c>
    </row>
    <row r="23" spans="1:7" x14ac:dyDescent="0.35">
      <c r="A23" t="s">
        <v>81</v>
      </c>
      <c r="B23">
        <v>16</v>
      </c>
      <c r="C23">
        <f>IF(B23&gt;16,B23-16,0)</f>
        <v>0</v>
      </c>
      <c r="D23" s="1">
        <v>10</v>
      </c>
      <c r="E23" s="1">
        <f>D23*B23</f>
        <v>160</v>
      </c>
      <c r="F23" s="1">
        <f>D23*C23*1.5</f>
        <v>0</v>
      </c>
      <c r="G23" s="1">
        <f>E23+F23</f>
        <v>160</v>
      </c>
    </row>
    <row r="24" spans="1:7" x14ac:dyDescent="0.35">
      <c r="A24" t="s">
        <v>81</v>
      </c>
      <c r="B24">
        <v>16</v>
      </c>
      <c r="C24">
        <f>IF(B24&gt;16,B24-16,0)</f>
        <v>0</v>
      </c>
      <c r="D24" s="1">
        <v>10</v>
      </c>
      <c r="E24" s="1">
        <f>D24*B24</f>
        <v>160</v>
      </c>
      <c r="F24" s="1">
        <f>D24*C24*1.5</f>
        <v>0</v>
      </c>
      <c r="G24" s="1">
        <f>E24+F24</f>
        <v>160</v>
      </c>
    </row>
    <row r="25" spans="1:7" x14ac:dyDescent="0.35">
      <c r="A25" t="s">
        <v>81</v>
      </c>
      <c r="B25">
        <v>16</v>
      </c>
      <c r="C25">
        <f>IF(B25&gt;16,B25-16,0)</f>
        <v>0</v>
      </c>
      <c r="D25" s="1">
        <v>10</v>
      </c>
      <c r="E25" s="1">
        <f>D25*B25</f>
        <v>160</v>
      </c>
      <c r="F25" s="1">
        <f>D25*C25*1.5</f>
        <v>0</v>
      </c>
      <c r="G25" s="1">
        <f>E25+F25</f>
        <v>160</v>
      </c>
    </row>
    <row r="26" spans="1:7" x14ac:dyDescent="0.35">
      <c r="A26" t="s">
        <v>81</v>
      </c>
      <c r="B26">
        <v>16</v>
      </c>
      <c r="C26">
        <f>IF(B26&gt;16,B26-16,0)</f>
        <v>0</v>
      </c>
      <c r="D26" s="1">
        <v>10</v>
      </c>
      <c r="E26" s="1">
        <f>D26*B26</f>
        <v>160</v>
      </c>
      <c r="F26" s="1">
        <f>D26*C26*1.5</f>
        <v>0</v>
      </c>
      <c r="G26" s="1">
        <f>E26+F26</f>
        <v>160</v>
      </c>
    </row>
    <row r="27" spans="1:7" x14ac:dyDescent="0.35">
      <c r="A27" t="s">
        <v>81</v>
      </c>
      <c r="B27">
        <v>16</v>
      </c>
      <c r="C27">
        <f>IF(B27&gt;16,B27-16,0)</f>
        <v>0</v>
      </c>
      <c r="D27" s="1">
        <v>10</v>
      </c>
      <c r="E27" s="1">
        <f>D27*B27</f>
        <v>160</v>
      </c>
      <c r="F27" s="1">
        <f>D27*C27*1.5</f>
        <v>0</v>
      </c>
      <c r="G27" s="1">
        <f>E27+F27</f>
        <v>160</v>
      </c>
    </row>
    <row r="28" spans="1:7" x14ac:dyDescent="0.35">
      <c r="A28" t="s">
        <v>81</v>
      </c>
      <c r="B28">
        <v>16</v>
      </c>
      <c r="C28">
        <f>IF(B28&gt;16,B28-16,0)</f>
        <v>0</v>
      </c>
      <c r="D28" s="1">
        <v>10</v>
      </c>
      <c r="E28" s="1">
        <f>D28*B28</f>
        <v>160</v>
      </c>
      <c r="F28" s="1">
        <f>D28*C28*1.5</f>
        <v>0</v>
      </c>
      <c r="G28" s="1">
        <f>E28+F28</f>
        <v>160</v>
      </c>
    </row>
    <row r="29" spans="1:7" x14ac:dyDescent="0.35">
      <c r="A29" t="s">
        <v>81</v>
      </c>
      <c r="B29">
        <v>14</v>
      </c>
      <c r="C29">
        <f>IF(B29&gt;16,B29-16,0)</f>
        <v>0</v>
      </c>
      <c r="D29" s="1">
        <v>10</v>
      </c>
      <c r="E29" s="1">
        <f>D29*B29</f>
        <v>140</v>
      </c>
      <c r="F29" s="1">
        <f>D29*C29*1.5</f>
        <v>0</v>
      </c>
      <c r="G29" s="1">
        <f>E29+F29</f>
        <v>140</v>
      </c>
    </row>
    <row r="30" spans="1:7" x14ac:dyDescent="0.35">
      <c r="A30" t="s">
        <v>81</v>
      </c>
      <c r="B30">
        <v>14</v>
      </c>
      <c r="C30">
        <f>IF(B30&gt;16,B30-16,0)</f>
        <v>0</v>
      </c>
      <c r="D30" s="1">
        <v>10</v>
      </c>
      <c r="E30" s="1">
        <f>D30*B30</f>
        <v>140</v>
      </c>
      <c r="F30" s="1">
        <f>D30*C30*1.5</f>
        <v>0</v>
      </c>
      <c r="G30" s="1">
        <f>E30+F30</f>
        <v>140</v>
      </c>
    </row>
    <row r="31" spans="1:7" x14ac:dyDescent="0.35">
      <c r="A31" t="s">
        <v>81</v>
      </c>
      <c r="B31">
        <v>14</v>
      </c>
      <c r="C31">
        <f>IF(B31&gt;16,B31-16,0)</f>
        <v>0</v>
      </c>
      <c r="D31" s="1">
        <v>10</v>
      </c>
      <c r="E31" s="1">
        <f>D31*B31</f>
        <v>140</v>
      </c>
      <c r="F31" s="1">
        <f>D31*C31*1.5</f>
        <v>0</v>
      </c>
      <c r="G31" s="1">
        <f>E31+F31</f>
        <v>140</v>
      </c>
    </row>
    <row r="32" spans="1:7" x14ac:dyDescent="0.35">
      <c r="A32" t="s">
        <v>81</v>
      </c>
      <c r="B32">
        <v>14</v>
      </c>
      <c r="C32">
        <f>IF(B32&gt;16,B32-16,0)</f>
        <v>0</v>
      </c>
      <c r="D32" s="1">
        <v>10</v>
      </c>
      <c r="E32" s="1">
        <f>D32*B32</f>
        <v>140</v>
      </c>
      <c r="F32" s="1">
        <f>D32*C32*1.5</f>
        <v>0</v>
      </c>
      <c r="G32" s="1">
        <f>E32+F32</f>
        <v>140</v>
      </c>
    </row>
    <row r="33" spans="1:7" x14ac:dyDescent="0.35">
      <c r="A33" t="s">
        <v>81</v>
      </c>
      <c r="B33">
        <v>14</v>
      </c>
      <c r="C33">
        <f>IF(B33&gt;16,B33-16,0)</f>
        <v>0</v>
      </c>
      <c r="D33" s="1">
        <v>10</v>
      </c>
      <c r="E33" s="1">
        <f>D33*B33</f>
        <v>140</v>
      </c>
      <c r="F33" s="1">
        <f>D33*C33*1.5</f>
        <v>0</v>
      </c>
      <c r="G33" s="1">
        <f>E33+F33</f>
        <v>140</v>
      </c>
    </row>
    <row r="34" spans="1:7" x14ac:dyDescent="0.35">
      <c r="A34" t="s">
        <v>81</v>
      </c>
      <c r="B34">
        <v>14</v>
      </c>
      <c r="C34">
        <f>IF(B34&gt;16,B34-16,0)</f>
        <v>0</v>
      </c>
      <c r="D34" s="1">
        <v>10</v>
      </c>
      <c r="E34" s="1">
        <f>D34*B34</f>
        <v>140</v>
      </c>
      <c r="F34" s="1">
        <f>D34*C34*1.5</f>
        <v>0</v>
      </c>
      <c r="G34" s="1">
        <f>E34+F34</f>
        <v>140</v>
      </c>
    </row>
    <row r="35" spans="1:7" x14ac:dyDescent="0.35">
      <c r="A35" t="s">
        <v>81</v>
      </c>
      <c r="B35">
        <v>14</v>
      </c>
      <c r="C35">
        <f>IF(B35&gt;16,B35-16,0)</f>
        <v>0</v>
      </c>
      <c r="D35" s="1">
        <v>10</v>
      </c>
      <c r="E35" s="1">
        <f>D35*B35</f>
        <v>140</v>
      </c>
      <c r="F35" s="1">
        <f>D35*C35*1.5</f>
        <v>0</v>
      </c>
      <c r="G35" s="1">
        <f>E35+F35</f>
        <v>140</v>
      </c>
    </row>
    <row r="36" spans="1:7" x14ac:dyDescent="0.35">
      <c r="A36" t="s">
        <v>81</v>
      </c>
      <c r="B36">
        <v>14</v>
      </c>
      <c r="C36">
        <f>IF(B36&gt;16,B36-16,0)</f>
        <v>0</v>
      </c>
      <c r="D36" s="1">
        <v>10</v>
      </c>
      <c r="E36" s="1">
        <f>D36*B36</f>
        <v>140</v>
      </c>
      <c r="F36" s="1">
        <f>D36*C36*1.5</f>
        <v>0</v>
      </c>
      <c r="G36" s="1">
        <f>E36+F36</f>
        <v>140</v>
      </c>
    </row>
    <row r="37" spans="1:7" x14ac:dyDescent="0.35">
      <c r="A37" t="s">
        <v>81</v>
      </c>
      <c r="B37">
        <v>14</v>
      </c>
      <c r="C37">
        <f>IF(B37&gt;16,B37-16,0)</f>
        <v>0</v>
      </c>
      <c r="D37" s="1">
        <v>10</v>
      </c>
      <c r="E37" s="1">
        <f>D37*B37</f>
        <v>140</v>
      </c>
      <c r="F37" s="1">
        <f>D37*C37*1.5</f>
        <v>0</v>
      </c>
      <c r="G37" s="1">
        <f>E37+F37</f>
        <v>140</v>
      </c>
    </row>
    <row r="38" spans="1:7" x14ac:dyDescent="0.35">
      <c r="A38" t="s">
        <v>81</v>
      </c>
      <c r="B38">
        <v>14</v>
      </c>
      <c r="C38">
        <f>IF(B38&gt;16,B38-16,0)</f>
        <v>0</v>
      </c>
      <c r="D38" s="1">
        <v>10</v>
      </c>
      <c r="E38" s="1">
        <f>D38*B38</f>
        <v>140</v>
      </c>
      <c r="F38" s="1">
        <f>D38*C38*1.5</f>
        <v>0</v>
      </c>
      <c r="G38" s="1">
        <f>E38+F38</f>
        <v>140</v>
      </c>
    </row>
    <row r="39" spans="1:7" x14ac:dyDescent="0.35">
      <c r="A39" t="s">
        <v>81</v>
      </c>
      <c r="B39">
        <v>14</v>
      </c>
      <c r="C39">
        <f>IF(B39&gt;16,B39-16,0)</f>
        <v>0</v>
      </c>
      <c r="D39" s="1">
        <v>10</v>
      </c>
      <c r="E39" s="1">
        <f>D39*B39</f>
        <v>140</v>
      </c>
      <c r="F39" s="1">
        <f>D39*C39*1.5</f>
        <v>0</v>
      </c>
      <c r="G39" s="1">
        <f>E39+F39</f>
        <v>140</v>
      </c>
    </row>
    <row r="40" spans="1:7" x14ac:dyDescent="0.35">
      <c r="A40" t="s">
        <v>81</v>
      </c>
      <c r="B40">
        <v>12</v>
      </c>
      <c r="C40">
        <f>IF(B40&gt;16,B40-16,0)</f>
        <v>0</v>
      </c>
      <c r="D40" s="1">
        <v>10</v>
      </c>
      <c r="E40" s="1">
        <f>D40*B40</f>
        <v>120</v>
      </c>
      <c r="F40" s="1">
        <f>D40*C40*1.5</f>
        <v>0</v>
      </c>
      <c r="G40" s="1">
        <f>E40+F40</f>
        <v>120</v>
      </c>
    </row>
    <row r="41" spans="1:7" x14ac:dyDescent="0.35">
      <c r="A41" t="s">
        <v>81</v>
      </c>
      <c r="B41">
        <v>12</v>
      </c>
      <c r="C41">
        <f>IF(B41&gt;16,B41-16,0)</f>
        <v>0</v>
      </c>
      <c r="D41" s="1">
        <v>10</v>
      </c>
      <c r="E41" s="1">
        <f>D41*B41</f>
        <v>120</v>
      </c>
      <c r="F41" s="1">
        <f>D41*C41*1.5</f>
        <v>0</v>
      </c>
      <c r="G41" s="1">
        <f>E41+F41</f>
        <v>120</v>
      </c>
    </row>
    <row r="42" spans="1:7" x14ac:dyDescent="0.35">
      <c r="A42" t="s">
        <v>81</v>
      </c>
      <c r="B42">
        <v>12</v>
      </c>
      <c r="C42">
        <f>IF(B42&gt;16,B42-16,0)</f>
        <v>0</v>
      </c>
      <c r="D42" s="1">
        <v>10</v>
      </c>
      <c r="E42" s="1">
        <f>D42*B42</f>
        <v>120</v>
      </c>
      <c r="F42" s="1">
        <f>D42*C42*1.5</f>
        <v>0</v>
      </c>
      <c r="G42" s="1">
        <f>E42+F42</f>
        <v>120</v>
      </c>
    </row>
    <row r="43" spans="1:7" x14ac:dyDescent="0.35">
      <c r="A43" t="s">
        <v>81</v>
      </c>
      <c r="B43">
        <v>12</v>
      </c>
      <c r="C43">
        <f>IF(B43&gt;16,B43-16,0)</f>
        <v>0</v>
      </c>
      <c r="D43" s="1">
        <v>10</v>
      </c>
      <c r="E43" s="1">
        <f>D43*B43</f>
        <v>120</v>
      </c>
      <c r="F43" s="1">
        <f>D43*C43*1.5</f>
        <v>0</v>
      </c>
      <c r="G43" s="1">
        <f>E43+F43</f>
        <v>120</v>
      </c>
    </row>
    <row r="44" spans="1:7" x14ac:dyDescent="0.35">
      <c r="A44" t="s">
        <v>81</v>
      </c>
      <c r="B44">
        <v>12</v>
      </c>
      <c r="C44">
        <f>IF(B44&gt;16,B44-16,0)</f>
        <v>0</v>
      </c>
      <c r="D44" s="1">
        <v>10</v>
      </c>
      <c r="E44" s="1">
        <f>D44*B44</f>
        <v>120</v>
      </c>
      <c r="F44" s="1">
        <f>D44*C44*1.5</f>
        <v>0</v>
      </c>
      <c r="G44" s="1">
        <f>E44+F44</f>
        <v>120</v>
      </c>
    </row>
    <row r="45" spans="1:7" x14ac:dyDescent="0.35">
      <c r="A45" t="s">
        <v>81</v>
      </c>
      <c r="B45">
        <v>12</v>
      </c>
      <c r="C45">
        <f>IF(B45&gt;16,B45-16,0)</f>
        <v>0</v>
      </c>
      <c r="D45" s="1">
        <v>10</v>
      </c>
      <c r="E45" s="1">
        <f>D45*B45</f>
        <v>120</v>
      </c>
      <c r="F45" s="1">
        <f>D45*C45*1.5</f>
        <v>0</v>
      </c>
      <c r="G45" s="1">
        <f>E45+F45</f>
        <v>120</v>
      </c>
    </row>
    <row r="46" spans="1:7" x14ac:dyDescent="0.35">
      <c r="A46" t="s">
        <v>81</v>
      </c>
      <c r="B46">
        <v>12</v>
      </c>
      <c r="C46">
        <f>IF(B46&gt;16,B46-16,0)</f>
        <v>0</v>
      </c>
      <c r="D46" s="1">
        <v>10</v>
      </c>
      <c r="E46" s="1">
        <f>D46*B46</f>
        <v>120</v>
      </c>
      <c r="F46" s="1">
        <f>D46*C46*1.5</f>
        <v>0</v>
      </c>
      <c r="G46" s="1">
        <f>E46+F46</f>
        <v>120</v>
      </c>
    </row>
    <row r="47" spans="1:7" x14ac:dyDescent="0.35">
      <c r="A47" t="s">
        <v>81</v>
      </c>
      <c r="B47">
        <v>14</v>
      </c>
      <c r="C47">
        <f>IF(B47&gt;16,B47-16,0)</f>
        <v>0</v>
      </c>
      <c r="D47" s="1">
        <v>10</v>
      </c>
      <c r="E47" s="1">
        <f>D47*B47</f>
        <v>140</v>
      </c>
      <c r="F47" s="1">
        <f>D47*C47*1.5</f>
        <v>0</v>
      </c>
      <c r="G47" s="1">
        <f>E47+F47</f>
        <v>140</v>
      </c>
    </row>
    <row r="48" spans="1:7" x14ac:dyDescent="0.35">
      <c r="A48" t="s">
        <v>81</v>
      </c>
      <c r="B48">
        <v>14</v>
      </c>
      <c r="C48">
        <f>IF(B48&gt;16,B48-16,0)</f>
        <v>0</v>
      </c>
      <c r="D48" s="1">
        <v>10</v>
      </c>
      <c r="E48" s="1">
        <f>D48*B48</f>
        <v>140</v>
      </c>
      <c r="F48" s="1">
        <f>D48*C48*1.5</f>
        <v>0</v>
      </c>
      <c r="G48" s="1">
        <f>E48+F48</f>
        <v>140</v>
      </c>
    </row>
    <row r="49" spans="1:7" x14ac:dyDescent="0.35">
      <c r="A49" t="s">
        <v>81</v>
      </c>
      <c r="B49">
        <v>14</v>
      </c>
      <c r="C49">
        <f>IF(B49&gt;16,B49-16,0)</f>
        <v>0</v>
      </c>
      <c r="D49" s="1">
        <v>10</v>
      </c>
      <c r="E49" s="1">
        <f>D49*B49</f>
        <v>140</v>
      </c>
      <c r="F49" s="1">
        <f>D49*C49*1.5</f>
        <v>0</v>
      </c>
      <c r="G49" s="1">
        <f>E49+F49</f>
        <v>140</v>
      </c>
    </row>
    <row r="50" spans="1:7" x14ac:dyDescent="0.35">
      <c r="A50" t="s">
        <v>81</v>
      </c>
      <c r="B50">
        <v>14</v>
      </c>
      <c r="C50">
        <f>IF(B50&gt;16,B50-16,0)</f>
        <v>0</v>
      </c>
      <c r="D50" s="1">
        <v>10</v>
      </c>
      <c r="E50" s="1">
        <f>D50*B50</f>
        <v>140</v>
      </c>
      <c r="F50" s="1">
        <f>D50*C50*1.5</f>
        <v>0</v>
      </c>
      <c r="G50" s="1">
        <f>E50+F50</f>
        <v>140</v>
      </c>
    </row>
    <row r="51" spans="1:7" x14ac:dyDescent="0.35">
      <c r="A51" t="s">
        <v>81</v>
      </c>
      <c r="B51">
        <v>14</v>
      </c>
      <c r="C51">
        <f>IF(B51&gt;16,B51-16,0)</f>
        <v>0</v>
      </c>
      <c r="D51" s="1">
        <v>10</v>
      </c>
      <c r="E51" s="1">
        <f>D51*B51</f>
        <v>140</v>
      </c>
      <c r="F51" s="1">
        <f>D51*C51*1.5</f>
        <v>0</v>
      </c>
      <c r="G51" s="1">
        <f>E51+F51</f>
        <v>140</v>
      </c>
    </row>
    <row r="52" spans="1:7" x14ac:dyDescent="0.35">
      <c r="A52" t="s">
        <v>81</v>
      </c>
      <c r="B52">
        <v>14</v>
      </c>
      <c r="C52">
        <f>IF(B52&gt;16,B52-16,0)</f>
        <v>0</v>
      </c>
      <c r="D52" s="1">
        <v>10</v>
      </c>
      <c r="E52" s="1">
        <f>D52*B52</f>
        <v>140</v>
      </c>
      <c r="F52" s="1">
        <f>D52*C52*1.5</f>
        <v>0</v>
      </c>
      <c r="G52" s="1">
        <f>E52+F52</f>
        <v>140</v>
      </c>
    </row>
    <row r="53" spans="1:7" x14ac:dyDescent="0.35">
      <c r="A53" t="s">
        <v>81</v>
      </c>
      <c r="B53">
        <v>14</v>
      </c>
      <c r="C53">
        <f>IF(B53&gt;16,B53-16,0)</f>
        <v>0</v>
      </c>
      <c r="D53" s="1">
        <v>10</v>
      </c>
      <c r="E53" s="1">
        <f>D53*B53</f>
        <v>140</v>
      </c>
      <c r="F53" s="1">
        <f>D53*C53*1.5</f>
        <v>0</v>
      </c>
      <c r="G53" s="1">
        <f>E53+F53</f>
        <v>140</v>
      </c>
    </row>
    <row r="55" spans="1:7" x14ac:dyDescent="0.35">
      <c r="A55" t="s">
        <v>88</v>
      </c>
      <c r="B55" s="5">
        <f>MAX(B4:B53)</f>
        <v>22</v>
      </c>
      <c r="C55">
        <f>MAX(C4:C53)</f>
        <v>6</v>
      </c>
      <c r="E55" s="1">
        <f>MAX(E4:E53)</f>
        <v>220</v>
      </c>
      <c r="F55" s="1"/>
      <c r="G55" s="16">
        <f>MAX(G4:G53)</f>
        <v>310</v>
      </c>
    </row>
    <row r="56" spans="1:7" x14ac:dyDescent="0.35">
      <c r="A56" t="s">
        <v>89</v>
      </c>
      <c r="B56">
        <f>MIN(B4:B53)</f>
        <v>12</v>
      </c>
      <c r="C56">
        <f>MIN(C4:C53)</f>
        <v>0</v>
      </c>
      <c r="E56" s="1">
        <f>MIN(E4:E53)</f>
        <v>120</v>
      </c>
      <c r="F56" s="5"/>
      <c r="G56" s="16">
        <f>MIN(G4:G53)</f>
        <v>120</v>
      </c>
    </row>
    <row r="57" spans="1:7" x14ac:dyDescent="0.35">
      <c r="A57" t="s">
        <v>90</v>
      </c>
      <c r="B57">
        <f>SUM(B4:B53)</f>
        <v>760</v>
      </c>
      <c r="C57">
        <f>SUMIF(C4:C53,"&gt;1")</f>
        <v>26</v>
      </c>
      <c r="E57" s="1">
        <f>SUM(E4:E53)</f>
        <v>7600</v>
      </c>
      <c r="F57" s="5"/>
      <c r="G57" s="16">
        <f>SUM(G4:G53)</f>
        <v>7990</v>
      </c>
    </row>
    <row r="58" spans="1:7" x14ac:dyDescent="0.35">
      <c r="A58" t="s">
        <v>91</v>
      </c>
      <c r="B58">
        <f>AVERAGE(B4:B53)</f>
        <v>15.2</v>
      </c>
      <c r="C58">
        <f>AVERAGE(C4:C53)</f>
        <v>0.52</v>
      </c>
      <c r="E58" s="1">
        <f>AVERAGE(E4:E53)</f>
        <v>152</v>
      </c>
      <c r="F58" s="5"/>
      <c r="G58" s="16">
        <f>AVERAGE(G4:G53)</f>
        <v>159.80000000000001</v>
      </c>
    </row>
  </sheetData>
  <mergeCells count="1">
    <mergeCell ref="A1:G1"/>
  </mergeCells>
  <conditionalFormatting sqref="G4:G53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C614-A45C-4FD4-B8BF-9B5185C17A86}">
  <dimension ref="A1:G58"/>
  <sheetViews>
    <sheetView workbookViewId="0">
      <selection sqref="A1:G1"/>
    </sheetView>
  </sheetViews>
  <sheetFormatPr defaultRowHeight="14.5" x14ac:dyDescent="0.35"/>
  <sheetData>
    <row r="1" spans="1:7" x14ac:dyDescent="0.35">
      <c r="A1" s="18" t="s">
        <v>83</v>
      </c>
      <c r="B1" s="18"/>
      <c r="C1" s="18"/>
      <c r="D1" s="18"/>
      <c r="E1" s="18"/>
      <c r="F1" s="18"/>
      <c r="G1" s="18"/>
    </row>
    <row r="3" spans="1:7" ht="43.5" x14ac:dyDescent="0.35">
      <c r="A3" s="9" t="s">
        <v>1</v>
      </c>
      <c r="B3" s="10" t="s">
        <v>2</v>
      </c>
      <c r="C3" s="11" t="s">
        <v>93</v>
      </c>
      <c r="D3" s="12" t="s">
        <v>75</v>
      </c>
      <c r="E3" s="13" t="s">
        <v>74</v>
      </c>
      <c r="F3" s="14" t="s">
        <v>94</v>
      </c>
      <c r="G3" s="15" t="s">
        <v>92</v>
      </c>
    </row>
    <row r="4" spans="1:7" x14ac:dyDescent="0.35">
      <c r="A4" t="s">
        <v>84</v>
      </c>
      <c r="B4">
        <f>9*5</f>
        <v>45</v>
      </c>
      <c r="C4">
        <f>IF(B4&gt;40,B4-40,0)</f>
        <v>5</v>
      </c>
      <c r="D4" s="1">
        <v>10</v>
      </c>
      <c r="E4" s="1">
        <f>D4*B4</f>
        <v>450</v>
      </c>
      <c r="F4" s="1">
        <f>D4*C4*1.5</f>
        <v>75</v>
      </c>
      <c r="G4" s="1">
        <f>E4+F4</f>
        <v>525</v>
      </c>
    </row>
    <row r="5" spans="1:7" x14ac:dyDescent="0.35">
      <c r="A5" t="s">
        <v>84</v>
      </c>
      <c r="B5">
        <f>9*5</f>
        <v>45</v>
      </c>
      <c r="C5">
        <f>IF(B5&gt;40,B5-40,0)</f>
        <v>5</v>
      </c>
      <c r="D5" s="1">
        <v>10</v>
      </c>
      <c r="E5" s="1">
        <f>D5*B5</f>
        <v>450</v>
      </c>
      <c r="F5" s="1">
        <f>D5*C5*1.5</f>
        <v>75</v>
      </c>
      <c r="G5" s="1">
        <f>E5+F5</f>
        <v>525</v>
      </c>
    </row>
    <row r="6" spans="1:7" x14ac:dyDescent="0.35">
      <c r="A6" t="s">
        <v>84</v>
      </c>
      <c r="B6">
        <f>9*5</f>
        <v>45</v>
      </c>
      <c r="C6">
        <f>IF(B6&gt;40,B6-40,0)</f>
        <v>5</v>
      </c>
      <c r="D6" s="1">
        <v>10</v>
      </c>
      <c r="E6" s="1">
        <f>D6*B6</f>
        <v>450</v>
      </c>
      <c r="F6" s="1">
        <f>D6*C6*1.5</f>
        <v>75</v>
      </c>
      <c r="G6" s="1">
        <f>E6+F6</f>
        <v>525</v>
      </c>
    </row>
    <row r="7" spans="1:7" x14ac:dyDescent="0.35">
      <c r="A7" t="s">
        <v>84</v>
      </c>
      <c r="B7">
        <f>9*5</f>
        <v>45</v>
      </c>
      <c r="C7">
        <f>IF(B7&gt;40,B7-40,0)</f>
        <v>5</v>
      </c>
      <c r="D7" s="1">
        <v>10</v>
      </c>
      <c r="E7" s="1">
        <f>D7*B7</f>
        <v>450</v>
      </c>
      <c r="F7" s="1">
        <f>D7*C7*1.5</f>
        <v>75</v>
      </c>
      <c r="G7" s="1">
        <f>E7+F7</f>
        <v>525</v>
      </c>
    </row>
    <row r="8" spans="1:7" x14ac:dyDescent="0.35">
      <c r="A8" t="s">
        <v>84</v>
      </c>
      <c r="B8">
        <f>9*5</f>
        <v>45</v>
      </c>
      <c r="C8">
        <f>IF(B8&gt;40,B8-40,0)</f>
        <v>5</v>
      </c>
      <c r="D8" s="1">
        <v>10</v>
      </c>
      <c r="E8" s="1">
        <f>D8*B8</f>
        <v>450</v>
      </c>
      <c r="F8" s="1">
        <f>D8*C8*1.5</f>
        <v>75</v>
      </c>
      <c r="G8" s="1">
        <f>E8+F8</f>
        <v>525</v>
      </c>
    </row>
    <row r="9" spans="1:7" x14ac:dyDescent="0.35">
      <c r="A9" t="s">
        <v>84</v>
      </c>
      <c r="B9">
        <f>9*5</f>
        <v>45</v>
      </c>
      <c r="C9">
        <f>IF(B9&gt;40,B9-40,0)</f>
        <v>5</v>
      </c>
      <c r="D9" s="1">
        <v>10</v>
      </c>
      <c r="E9" s="1">
        <f>D9*B9</f>
        <v>450</v>
      </c>
      <c r="F9" s="1">
        <f>D9*C9*1.5</f>
        <v>75</v>
      </c>
      <c r="G9" s="1">
        <f>E9+F9</f>
        <v>525</v>
      </c>
    </row>
    <row r="10" spans="1:7" x14ac:dyDescent="0.35">
      <c r="A10" t="s">
        <v>84</v>
      </c>
      <c r="B10">
        <f>9*5</f>
        <v>45</v>
      </c>
      <c r="C10">
        <f>IF(B10&gt;40,B10-40,0)</f>
        <v>5</v>
      </c>
      <c r="D10" s="1">
        <v>10</v>
      </c>
      <c r="E10" s="1">
        <f>D10*B10</f>
        <v>450</v>
      </c>
      <c r="F10" s="1">
        <f>D10*C10*1.5</f>
        <v>75</v>
      </c>
      <c r="G10" s="1">
        <f>E10+F10</f>
        <v>525</v>
      </c>
    </row>
    <row r="11" spans="1:7" x14ac:dyDescent="0.35">
      <c r="A11" t="s">
        <v>84</v>
      </c>
      <c r="B11">
        <f>9*5</f>
        <v>45</v>
      </c>
      <c r="C11">
        <f>IF(B11&gt;40,B11-40,0)</f>
        <v>5</v>
      </c>
      <c r="D11" s="1">
        <v>10</v>
      </c>
      <c r="E11" s="1">
        <f>D11*B11</f>
        <v>450</v>
      </c>
      <c r="F11" s="1">
        <f>D11*C11*1.5</f>
        <v>75</v>
      </c>
      <c r="G11" s="1">
        <f>E11+F11</f>
        <v>525</v>
      </c>
    </row>
    <row r="12" spans="1:7" x14ac:dyDescent="0.35">
      <c r="A12" t="s">
        <v>84</v>
      </c>
      <c r="B12">
        <f>9*5</f>
        <v>45</v>
      </c>
      <c r="C12">
        <f>IF(B12&gt;40,B12-40,0)</f>
        <v>5</v>
      </c>
      <c r="D12" s="1">
        <v>10</v>
      </c>
      <c r="E12" s="1">
        <f>D12*B12</f>
        <v>450</v>
      </c>
      <c r="F12" s="1">
        <f>D12*C12*1.5</f>
        <v>75</v>
      </c>
      <c r="G12" s="1">
        <f>E12+F12</f>
        <v>525</v>
      </c>
    </row>
    <row r="13" spans="1:7" x14ac:dyDescent="0.35">
      <c r="A13" t="s">
        <v>84</v>
      </c>
      <c r="B13">
        <f>9*5</f>
        <v>45</v>
      </c>
      <c r="C13">
        <f>IF(B13&gt;40,B13-40,0)</f>
        <v>5</v>
      </c>
      <c r="D13" s="1">
        <v>10</v>
      </c>
      <c r="E13" s="1">
        <f>D13*B13</f>
        <v>450</v>
      </c>
      <c r="F13" s="1">
        <f>D13*C13*1.5</f>
        <v>75</v>
      </c>
      <c r="G13" s="1">
        <f>E13+F13</f>
        <v>525</v>
      </c>
    </row>
    <row r="14" spans="1:7" x14ac:dyDescent="0.35">
      <c r="A14" t="s">
        <v>84</v>
      </c>
      <c r="B14">
        <f>9*5</f>
        <v>45</v>
      </c>
      <c r="C14">
        <f>IF(B14&gt;40,B14-40,0)</f>
        <v>5</v>
      </c>
      <c r="D14" s="1">
        <v>10</v>
      </c>
      <c r="E14" s="1">
        <f>D14*B14</f>
        <v>450</v>
      </c>
      <c r="F14" s="1">
        <f>D14*C14*1.5</f>
        <v>75</v>
      </c>
      <c r="G14" s="1">
        <f>E14+F14</f>
        <v>525</v>
      </c>
    </row>
    <row r="15" spans="1:7" x14ac:dyDescent="0.35">
      <c r="A15" t="s">
        <v>84</v>
      </c>
      <c r="B15">
        <f>9*5</f>
        <v>45</v>
      </c>
      <c r="C15">
        <f>IF(B15&gt;40,B15-40,0)</f>
        <v>5</v>
      </c>
      <c r="D15" s="1">
        <v>10</v>
      </c>
      <c r="E15" s="1">
        <f>D15*B15</f>
        <v>450</v>
      </c>
      <c r="F15" s="1">
        <f>D15*C15*1.5</f>
        <v>75</v>
      </c>
      <c r="G15" s="1">
        <f>E15+F15</f>
        <v>525</v>
      </c>
    </row>
    <row r="16" spans="1:7" x14ac:dyDescent="0.35">
      <c r="A16" t="s">
        <v>84</v>
      </c>
      <c r="B16">
        <f>9*5</f>
        <v>45</v>
      </c>
      <c r="C16">
        <f>IF(B16&gt;40,B16-40,0)</f>
        <v>5</v>
      </c>
      <c r="D16" s="1">
        <v>10</v>
      </c>
      <c r="E16" s="1">
        <f>D16*B16</f>
        <v>450</v>
      </c>
      <c r="F16" s="1">
        <f>D16*C16*1.5</f>
        <v>75</v>
      </c>
      <c r="G16" s="1">
        <f>E16+F16</f>
        <v>525</v>
      </c>
    </row>
    <row r="17" spans="1:7" x14ac:dyDescent="0.35">
      <c r="A17" t="s">
        <v>84</v>
      </c>
      <c r="B17">
        <f>9*5</f>
        <v>45</v>
      </c>
      <c r="C17">
        <f>IF(B17&gt;40,B17-40,0)</f>
        <v>5</v>
      </c>
      <c r="D17" s="1">
        <v>10</v>
      </c>
      <c r="E17" s="1">
        <f>D17*B17</f>
        <v>450</v>
      </c>
      <c r="F17" s="1">
        <f>D17*C17*1.5</f>
        <v>75</v>
      </c>
      <c r="G17" s="1">
        <f>E17+F17</f>
        <v>525</v>
      </c>
    </row>
    <row r="18" spans="1:7" x14ac:dyDescent="0.35">
      <c r="A18" t="s">
        <v>84</v>
      </c>
      <c r="B18">
        <f>9*5</f>
        <v>45</v>
      </c>
      <c r="C18">
        <f>IF(B18&gt;40,B18-40,0)</f>
        <v>5</v>
      </c>
      <c r="D18" s="1">
        <v>10</v>
      </c>
      <c r="E18" s="1">
        <f>D18*B18</f>
        <v>450</v>
      </c>
      <c r="F18" s="1">
        <f>D18*C18*1.5</f>
        <v>75</v>
      </c>
      <c r="G18" s="1">
        <f>E18+F18</f>
        <v>525</v>
      </c>
    </row>
    <row r="19" spans="1:7" x14ac:dyDescent="0.35">
      <c r="A19" t="s">
        <v>84</v>
      </c>
      <c r="B19">
        <f>8*5</f>
        <v>40</v>
      </c>
      <c r="C19">
        <f>IF(B19&gt;40,B19-40,0)</f>
        <v>0</v>
      </c>
      <c r="D19" s="1">
        <v>10</v>
      </c>
      <c r="E19" s="1">
        <f>D19*B19</f>
        <v>400</v>
      </c>
      <c r="F19" s="1">
        <f>D19*C19*1.5</f>
        <v>0</v>
      </c>
      <c r="G19" s="1">
        <f>E19+F19</f>
        <v>400</v>
      </c>
    </row>
    <row r="20" spans="1:7" x14ac:dyDescent="0.35">
      <c r="A20" t="s">
        <v>84</v>
      </c>
      <c r="B20">
        <f>8*5</f>
        <v>40</v>
      </c>
      <c r="C20">
        <f>IF(B20&gt;40,B20-40,0)</f>
        <v>0</v>
      </c>
      <c r="D20" s="1">
        <v>10</v>
      </c>
      <c r="E20" s="1">
        <f>D20*B20</f>
        <v>400</v>
      </c>
      <c r="F20" s="1">
        <f>D20*C20*1.5</f>
        <v>0</v>
      </c>
      <c r="G20" s="1">
        <f>E20+F20</f>
        <v>400</v>
      </c>
    </row>
    <row r="21" spans="1:7" x14ac:dyDescent="0.35">
      <c r="A21" t="s">
        <v>84</v>
      </c>
      <c r="B21">
        <f>8*5</f>
        <v>40</v>
      </c>
      <c r="C21">
        <f>IF(B21&gt;40,B21-40,0)</f>
        <v>0</v>
      </c>
      <c r="D21" s="1">
        <v>10</v>
      </c>
      <c r="E21" s="1">
        <f>D21*B21</f>
        <v>400</v>
      </c>
      <c r="F21" s="1">
        <f>D21*C21*1.5</f>
        <v>0</v>
      </c>
      <c r="G21" s="1">
        <f>E21+F21</f>
        <v>400</v>
      </c>
    </row>
    <row r="22" spans="1:7" x14ac:dyDescent="0.35">
      <c r="A22" t="s">
        <v>84</v>
      </c>
      <c r="B22">
        <f>8*5</f>
        <v>40</v>
      </c>
      <c r="C22">
        <f>IF(B22&gt;40,B22-40,0)</f>
        <v>0</v>
      </c>
      <c r="D22" s="1">
        <v>10</v>
      </c>
      <c r="E22" s="1">
        <f>D22*B22</f>
        <v>400</v>
      </c>
      <c r="F22" s="1">
        <f>D22*C22*1.5</f>
        <v>0</v>
      </c>
      <c r="G22" s="1">
        <f>E22+F22</f>
        <v>400</v>
      </c>
    </row>
    <row r="23" spans="1:7" x14ac:dyDescent="0.35">
      <c r="A23" t="s">
        <v>84</v>
      </c>
      <c r="B23">
        <f>8*5</f>
        <v>40</v>
      </c>
      <c r="C23">
        <f>IF(B23&gt;40,B23-40,0)</f>
        <v>0</v>
      </c>
      <c r="D23" s="1">
        <v>10</v>
      </c>
      <c r="E23" s="1">
        <f>D23*B23</f>
        <v>400</v>
      </c>
      <c r="F23" s="1">
        <f>D23*C23*1.5</f>
        <v>0</v>
      </c>
      <c r="G23" s="1">
        <f>E23+F23</f>
        <v>400</v>
      </c>
    </row>
    <row r="24" spans="1:7" x14ac:dyDescent="0.35">
      <c r="A24" t="s">
        <v>84</v>
      </c>
      <c r="B24">
        <f>8*5</f>
        <v>40</v>
      </c>
      <c r="C24">
        <f>IF(B24&gt;40,B24-40,0)</f>
        <v>0</v>
      </c>
      <c r="D24" s="1">
        <v>10</v>
      </c>
      <c r="E24" s="1">
        <f>D24*B24</f>
        <v>400</v>
      </c>
      <c r="F24" s="1">
        <f>D24*C24*1.5</f>
        <v>0</v>
      </c>
      <c r="G24" s="1">
        <f>E24+F24</f>
        <v>400</v>
      </c>
    </row>
    <row r="25" spans="1:7" x14ac:dyDescent="0.35">
      <c r="A25" t="s">
        <v>84</v>
      </c>
      <c r="B25">
        <f>8*5</f>
        <v>40</v>
      </c>
      <c r="C25">
        <f>IF(B25&gt;40,B25-40,0)</f>
        <v>0</v>
      </c>
      <c r="D25" s="1">
        <v>10</v>
      </c>
      <c r="E25" s="1">
        <f>D25*B25</f>
        <v>400</v>
      </c>
      <c r="F25" s="1">
        <f>D25*C25*1.5</f>
        <v>0</v>
      </c>
      <c r="G25" s="1">
        <f>E25+F25</f>
        <v>400</v>
      </c>
    </row>
    <row r="26" spans="1:7" x14ac:dyDescent="0.35">
      <c r="A26" t="s">
        <v>84</v>
      </c>
      <c r="B26">
        <f>8*5</f>
        <v>40</v>
      </c>
      <c r="C26">
        <f>IF(B26&gt;40,B26-40,0)</f>
        <v>0</v>
      </c>
      <c r="D26" s="1">
        <v>10</v>
      </c>
      <c r="E26" s="1">
        <f>D26*B26</f>
        <v>400</v>
      </c>
      <c r="F26" s="1">
        <f>D26*C26*1.5</f>
        <v>0</v>
      </c>
      <c r="G26" s="1">
        <f>E26+F26</f>
        <v>400</v>
      </c>
    </row>
    <row r="27" spans="1:7" x14ac:dyDescent="0.35">
      <c r="A27" t="s">
        <v>84</v>
      </c>
      <c r="B27">
        <f>8*5</f>
        <v>40</v>
      </c>
      <c r="C27">
        <f>IF(B27&gt;40,B27-40,0)</f>
        <v>0</v>
      </c>
      <c r="D27" s="1">
        <v>10</v>
      </c>
      <c r="E27" s="1">
        <f>D27*B27</f>
        <v>400</v>
      </c>
      <c r="F27" s="1">
        <f>D27*C27*1.5</f>
        <v>0</v>
      </c>
      <c r="G27" s="1">
        <f>E27+F27</f>
        <v>400</v>
      </c>
    </row>
    <row r="28" spans="1:7" x14ac:dyDescent="0.35">
      <c r="A28" t="s">
        <v>84</v>
      </c>
      <c r="B28">
        <f>8*5</f>
        <v>40</v>
      </c>
      <c r="C28">
        <f>IF(B28&gt;40,B28-40,0)</f>
        <v>0</v>
      </c>
      <c r="D28" s="1">
        <v>10</v>
      </c>
      <c r="E28" s="1">
        <f>D28*B28</f>
        <v>400</v>
      </c>
      <c r="F28" s="1">
        <f>D28*C28*1.5</f>
        <v>0</v>
      </c>
      <c r="G28" s="1">
        <f>E28+F28</f>
        <v>400</v>
      </c>
    </row>
    <row r="29" spans="1:7" x14ac:dyDescent="0.35">
      <c r="A29" t="s">
        <v>84</v>
      </c>
      <c r="B29">
        <f>8*5</f>
        <v>40</v>
      </c>
      <c r="C29">
        <f>IF(B29&gt;40,B29-40,0)</f>
        <v>0</v>
      </c>
      <c r="D29" s="1">
        <v>10</v>
      </c>
      <c r="E29" s="1">
        <f>D29*B29</f>
        <v>400</v>
      </c>
      <c r="F29" s="1">
        <f>D29*C29*1.5</f>
        <v>0</v>
      </c>
      <c r="G29" s="1">
        <f>E29+F29</f>
        <v>400</v>
      </c>
    </row>
    <row r="30" spans="1:7" x14ac:dyDescent="0.35">
      <c r="A30" t="s">
        <v>84</v>
      </c>
      <c r="B30">
        <f>8*5</f>
        <v>40</v>
      </c>
      <c r="C30">
        <f>IF(B30&gt;40,B30-40,0)</f>
        <v>0</v>
      </c>
      <c r="D30" s="1">
        <v>10</v>
      </c>
      <c r="E30" s="1">
        <f>D30*B30</f>
        <v>400</v>
      </c>
      <c r="F30" s="1">
        <f>D30*C30*1.5</f>
        <v>0</v>
      </c>
      <c r="G30" s="1">
        <f>E30+F30</f>
        <v>400</v>
      </c>
    </row>
    <row r="31" spans="1:7" x14ac:dyDescent="0.35">
      <c r="A31" t="s">
        <v>84</v>
      </c>
      <c r="B31">
        <f>8*5</f>
        <v>40</v>
      </c>
      <c r="C31">
        <f>IF(B31&gt;40,B31-40,0)</f>
        <v>0</v>
      </c>
      <c r="D31" s="1">
        <v>10</v>
      </c>
      <c r="E31" s="1">
        <f>D31*B31</f>
        <v>400</v>
      </c>
      <c r="F31" s="1">
        <f>D31*C31*1.5</f>
        <v>0</v>
      </c>
      <c r="G31" s="1">
        <f>E31+F31</f>
        <v>400</v>
      </c>
    </row>
    <row r="32" spans="1:7" x14ac:dyDescent="0.35">
      <c r="A32" t="s">
        <v>84</v>
      </c>
      <c r="B32">
        <f>8*5</f>
        <v>40</v>
      </c>
      <c r="C32">
        <f>IF(B32&gt;40,B32-40,0)</f>
        <v>0</v>
      </c>
      <c r="D32" s="1">
        <v>10</v>
      </c>
      <c r="E32" s="1">
        <f>D32*B32</f>
        <v>400</v>
      </c>
      <c r="F32" s="1">
        <f>D32*C32*1.5</f>
        <v>0</v>
      </c>
      <c r="G32" s="1">
        <f>E32+F32</f>
        <v>400</v>
      </c>
    </row>
    <row r="33" spans="1:7" x14ac:dyDescent="0.35">
      <c r="A33" t="s">
        <v>84</v>
      </c>
      <c r="B33">
        <f>8*5</f>
        <v>40</v>
      </c>
      <c r="C33">
        <f>IF(B33&gt;40,B33-40,0)</f>
        <v>0</v>
      </c>
      <c r="D33" s="1">
        <v>10</v>
      </c>
      <c r="E33" s="1">
        <f>D33*B33</f>
        <v>400</v>
      </c>
      <c r="F33" s="1">
        <f>D33*C33*1.5</f>
        <v>0</v>
      </c>
      <c r="G33" s="1">
        <f>E33+F33</f>
        <v>400</v>
      </c>
    </row>
    <row r="34" spans="1:7" x14ac:dyDescent="0.35">
      <c r="A34" t="s">
        <v>84</v>
      </c>
      <c r="B34">
        <f>8*5</f>
        <v>40</v>
      </c>
      <c r="C34">
        <f>IF(B34&gt;40,B34-40,0)</f>
        <v>0</v>
      </c>
      <c r="D34" s="1">
        <v>10</v>
      </c>
      <c r="E34" s="1">
        <f>D34*B34</f>
        <v>400</v>
      </c>
      <c r="F34" s="1">
        <f>D34*C34*1.5</f>
        <v>0</v>
      </c>
      <c r="G34" s="1">
        <f>E34+F34</f>
        <v>400</v>
      </c>
    </row>
    <row r="35" spans="1:7" x14ac:dyDescent="0.35">
      <c r="A35" t="s">
        <v>84</v>
      </c>
      <c r="B35">
        <f>8*5</f>
        <v>40</v>
      </c>
      <c r="C35">
        <f>IF(B35&gt;40,B35-40,0)</f>
        <v>0</v>
      </c>
      <c r="D35" s="1">
        <v>10</v>
      </c>
      <c r="E35" s="1">
        <f>D35*B35</f>
        <v>400</v>
      </c>
      <c r="F35" s="1">
        <f>D35*C35*1.5</f>
        <v>0</v>
      </c>
      <c r="G35" s="1">
        <f>E35+F35</f>
        <v>400</v>
      </c>
    </row>
    <row r="36" spans="1:7" x14ac:dyDescent="0.35">
      <c r="A36" t="s">
        <v>84</v>
      </c>
      <c r="B36">
        <f>8*5</f>
        <v>40</v>
      </c>
      <c r="C36">
        <f>IF(B36&gt;40,B36-40,0)</f>
        <v>0</v>
      </c>
      <c r="D36" s="1">
        <v>10</v>
      </c>
      <c r="E36" s="1">
        <f>D36*B36</f>
        <v>400</v>
      </c>
      <c r="F36" s="1">
        <f>D36*C36*1.5</f>
        <v>0</v>
      </c>
      <c r="G36" s="1">
        <f>E36+F36</f>
        <v>400</v>
      </c>
    </row>
    <row r="37" spans="1:7" x14ac:dyDescent="0.35">
      <c r="A37" t="s">
        <v>84</v>
      </c>
      <c r="B37">
        <f>7*5</f>
        <v>35</v>
      </c>
      <c r="C37">
        <f>IF(B37&gt;40,B37-40,0)</f>
        <v>0</v>
      </c>
      <c r="D37" s="1">
        <v>10</v>
      </c>
      <c r="E37" s="1">
        <f>D37*B37</f>
        <v>350</v>
      </c>
      <c r="F37" s="1">
        <f>D37*C37*1.5</f>
        <v>0</v>
      </c>
      <c r="G37" s="1">
        <f>E37+F37</f>
        <v>350</v>
      </c>
    </row>
    <row r="38" spans="1:7" x14ac:dyDescent="0.35">
      <c r="A38" t="s">
        <v>84</v>
      </c>
      <c r="B38">
        <f>7*5</f>
        <v>35</v>
      </c>
      <c r="C38">
        <f>IF(B38&gt;40,B38-40,0)</f>
        <v>0</v>
      </c>
      <c r="D38" s="1">
        <v>10</v>
      </c>
      <c r="E38" s="1">
        <f>D38*B38</f>
        <v>350</v>
      </c>
      <c r="F38" s="1">
        <f>D38*C38*1.5</f>
        <v>0</v>
      </c>
      <c r="G38" s="1">
        <f>E38+F38</f>
        <v>350</v>
      </c>
    </row>
    <row r="39" spans="1:7" x14ac:dyDescent="0.35">
      <c r="A39" t="s">
        <v>84</v>
      </c>
      <c r="B39">
        <f>7*5</f>
        <v>35</v>
      </c>
      <c r="C39">
        <f>IF(B39&gt;40,B39-40,0)</f>
        <v>0</v>
      </c>
      <c r="D39" s="1">
        <v>10</v>
      </c>
      <c r="E39" s="1">
        <f>D39*B39</f>
        <v>350</v>
      </c>
      <c r="F39" s="1">
        <f>D39*C39*1.5</f>
        <v>0</v>
      </c>
      <c r="G39" s="1">
        <f>E39+F39</f>
        <v>350</v>
      </c>
    </row>
    <row r="40" spans="1:7" x14ac:dyDescent="0.35">
      <c r="A40" t="s">
        <v>84</v>
      </c>
      <c r="B40">
        <f>7*5</f>
        <v>35</v>
      </c>
      <c r="C40">
        <f>IF(B40&gt;40,B40-40,0)</f>
        <v>0</v>
      </c>
      <c r="D40" s="1">
        <v>10</v>
      </c>
      <c r="E40" s="1">
        <f>D40*B40</f>
        <v>350</v>
      </c>
      <c r="F40" s="1">
        <f>D40*C40*1.5</f>
        <v>0</v>
      </c>
      <c r="G40" s="1">
        <f>E40+F40</f>
        <v>350</v>
      </c>
    </row>
    <row r="41" spans="1:7" x14ac:dyDescent="0.35">
      <c r="A41" t="s">
        <v>84</v>
      </c>
      <c r="B41">
        <f>7*5</f>
        <v>35</v>
      </c>
      <c r="C41">
        <f>IF(B41&gt;40,B41-40,0)</f>
        <v>0</v>
      </c>
      <c r="D41" s="1">
        <v>10</v>
      </c>
      <c r="E41" s="1">
        <f>D41*B41</f>
        <v>350</v>
      </c>
      <c r="F41" s="1">
        <f>D41*C41*1.5</f>
        <v>0</v>
      </c>
      <c r="G41" s="1">
        <f>E41+F41</f>
        <v>350</v>
      </c>
    </row>
    <row r="42" spans="1:7" x14ac:dyDescent="0.35">
      <c r="A42" t="s">
        <v>84</v>
      </c>
      <c r="B42">
        <f>7*5</f>
        <v>35</v>
      </c>
      <c r="C42">
        <f>IF(B42&gt;40,B42-40,0)</f>
        <v>0</v>
      </c>
      <c r="D42" s="1">
        <v>10</v>
      </c>
      <c r="E42" s="1">
        <f>D42*B42</f>
        <v>350</v>
      </c>
      <c r="F42" s="1">
        <f>D42*C42*1.5</f>
        <v>0</v>
      </c>
      <c r="G42" s="1">
        <f>E42+F42</f>
        <v>350</v>
      </c>
    </row>
    <row r="43" spans="1:7" x14ac:dyDescent="0.35">
      <c r="A43" t="s">
        <v>84</v>
      </c>
      <c r="B43">
        <f>7*5</f>
        <v>35</v>
      </c>
      <c r="C43">
        <f>IF(B43&gt;40,B43-40,0)</f>
        <v>0</v>
      </c>
      <c r="D43" s="1">
        <v>10</v>
      </c>
      <c r="E43" s="1">
        <f>D43*B43</f>
        <v>350</v>
      </c>
      <c r="F43" s="1">
        <f>D43*C43*1.5</f>
        <v>0</v>
      </c>
      <c r="G43" s="1">
        <f>E43+F43</f>
        <v>350</v>
      </c>
    </row>
    <row r="44" spans="1:7" x14ac:dyDescent="0.35">
      <c r="A44" t="s">
        <v>84</v>
      </c>
      <c r="B44">
        <f>7*5</f>
        <v>35</v>
      </c>
      <c r="C44">
        <f>IF(B44&gt;40,B44-40,0)</f>
        <v>0</v>
      </c>
      <c r="D44" s="1">
        <v>10</v>
      </c>
      <c r="E44" s="1">
        <f>D44*B44</f>
        <v>350</v>
      </c>
      <c r="F44" s="1">
        <f>D44*C44*1.5</f>
        <v>0</v>
      </c>
      <c r="G44" s="1">
        <f>E44+F44</f>
        <v>350</v>
      </c>
    </row>
    <row r="45" spans="1:7" x14ac:dyDescent="0.35">
      <c r="A45" t="s">
        <v>84</v>
      </c>
      <c r="B45">
        <f>7*5</f>
        <v>35</v>
      </c>
      <c r="C45">
        <f>IF(B45&gt;40,B45-40,0)</f>
        <v>0</v>
      </c>
      <c r="D45" s="1">
        <v>10</v>
      </c>
      <c r="E45" s="1">
        <f>D45*B45</f>
        <v>350</v>
      </c>
      <c r="F45" s="1">
        <f>D45*C45*1.5</f>
        <v>0</v>
      </c>
      <c r="G45" s="1">
        <f>E45+F45</f>
        <v>350</v>
      </c>
    </row>
    <row r="46" spans="1:7" x14ac:dyDescent="0.35">
      <c r="A46" t="s">
        <v>84</v>
      </c>
      <c r="B46">
        <f>7*5</f>
        <v>35</v>
      </c>
      <c r="C46">
        <f>IF(B46&gt;40,B46-40,0)</f>
        <v>0</v>
      </c>
      <c r="D46" s="1">
        <v>10</v>
      </c>
      <c r="E46" s="1">
        <f>D46*B46</f>
        <v>350</v>
      </c>
      <c r="F46" s="1">
        <f>D46*C46*1.5</f>
        <v>0</v>
      </c>
      <c r="G46" s="1">
        <f>E46+F46</f>
        <v>350</v>
      </c>
    </row>
    <row r="47" spans="1:7" x14ac:dyDescent="0.35">
      <c r="A47" t="s">
        <v>84</v>
      </c>
      <c r="B47">
        <f>7*5</f>
        <v>35</v>
      </c>
      <c r="C47">
        <f>IF(B47&gt;40,B47-40,0)</f>
        <v>0</v>
      </c>
      <c r="D47" s="1">
        <v>10</v>
      </c>
      <c r="E47" s="1">
        <f>D47*B47</f>
        <v>350</v>
      </c>
      <c r="F47" s="1">
        <f>D47*C47*1.5</f>
        <v>0</v>
      </c>
      <c r="G47" s="1">
        <f>E47+F47</f>
        <v>350</v>
      </c>
    </row>
    <row r="48" spans="1:7" x14ac:dyDescent="0.35">
      <c r="A48" t="s">
        <v>84</v>
      </c>
      <c r="B48">
        <f>7*5</f>
        <v>35</v>
      </c>
      <c r="C48">
        <f>IF(B48&gt;40,B48-40,0)</f>
        <v>0</v>
      </c>
      <c r="D48" s="1">
        <v>10</v>
      </c>
      <c r="E48" s="1">
        <f>D48*B48</f>
        <v>350</v>
      </c>
      <c r="F48" s="1">
        <f>D48*C48*1.5</f>
        <v>0</v>
      </c>
      <c r="G48" s="1">
        <f>E48+F48</f>
        <v>350</v>
      </c>
    </row>
    <row r="49" spans="1:7" x14ac:dyDescent="0.35">
      <c r="A49" t="s">
        <v>84</v>
      </c>
      <c r="B49">
        <f>5*5</f>
        <v>25</v>
      </c>
      <c r="C49">
        <f>IF(B49&gt;40,B49-40,0)</f>
        <v>0</v>
      </c>
      <c r="D49" s="1">
        <v>10</v>
      </c>
      <c r="E49" s="1">
        <f>D49*B49</f>
        <v>250</v>
      </c>
      <c r="F49" s="1">
        <f>D49*C49*1.5</f>
        <v>0</v>
      </c>
      <c r="G49" s="1">
        <f>E49+F49</f>
        <v>250</v>
      </c>
    </row>
    <row r="50" spans="1:7" x14ac:dyDescent="0.35">
      <c r="A50" t="s">
        <v>84</v>
      </c>
      <c r="B50">
        <f>5*5</f>
        <v>25</v>
      </c>
      <c r="C50">
        <f>IF(B50&gt;40,B50-40,0)</f>
        <v>0</v>
      </c>
      <c r="D50" s="1">
        <v>10</v>
      </c>
      <c r="E50" s="1">
        <f>D50*B50</f>
        <v>250</v>
      </c>
      <c r="F50" s="1">
        <f>D50*C50*1.5</f>
        <v>0</v>
      </c>
      <c r="G50" s="1">
        <f>E50+F50</f>
        <v>250</v>
      </c>
    </row>
    <row r="51" spans="1:7" x14ac:dyDescent="0.35">
      <c r="A51" t="s">
        <v>84</v>
      </c>
      <c r="B51">
        <f>5*5</f>
        <v>25</v>
      </c>
      <c r="C51">
        <f>IF(B51&gt;40,B51-40,0)</f>
        <v>0</v>
      </c>
      <c r="D51" s="1">
        <v>10</v>
      </c>
      <c r="E51" s="1">
        <f>D51*B51</f>
        <v>250</v>
      </c>
      <c r="F51" s="1">
        <f>D51*C51*1.5</f>
        <v>0</v>
      </c>
      <c r="G51" s="1">
        <f>E51+F51</f>
        <v>250</v>
      </c>
    </row>
    <row r="52" spans="1:7" x14ac:dyDescent="0.35">
      <c r="A52" t="s">
        <v>84</v>
      </c>
      <c r="B52">
        <f>5*5</f>
        <v>25</v>
      </c>
      <c r="C52">
        <f>IF(B52&gt;40,B52-40,0)</f>
        <v>0</v>
      </c>
      <c r="D52" s="1">
        <v>10</v>
      </c>
      <c r="E52" s="1">
        <f>D52*B52</f>
        <v>250</v>
      </c>
      <c r="F52" s="1">
        <f>D52*C52*1.5</f>
        <v>0</v>
      </c>
      <c r="G52" s="1">
        <f>E52+F52</f>
        <v>250</v>
      </c>
    </row>
    <row r="53" spans="1:7" x14ac:dyDescent="0.35">
      <c r="A53" t="s">
        <v>84</v>
      </c>
      <c r="B53">
        <f>5*5</f>
        <v>25</v>
      </c>
      <c r="C53">
        <f>IF(B53&gt;40,B53-40,0)</f>
        <v>0</v>
      </c>
      <c r="D53" s="1">
        <v>10</v>
      </c>
      <c r="E53" s="1">
        <f>D53*B53</f>
        <v>250</v>
      </c>
      <c r="F53" s="1">
        <f>D53*C53*1.5</f>
        <v>0</v>
      </c>
      <c r="G53" s="1">
        <f>E53+F53</f>
        <v>250</v>
      </c>
    </row>
    <row r="55" spans="1:7" x14ac:dyDescent="0.35">
      <c r="B55" s="5">
        <f>MAX(B4:B53)</f>
        <v>45</v>
      </c>
      <c r="C55">
        <f>MAX(C4:C53)</f>
        <v>5</v>
      </c>
      <c r="E55" s="1">
        <f>MAX(E4:E53)</f>
        <v>450</v>
      </c>
      <c r="F55" s="1"/>
      <c r="G55" s="1">
        <f>MAX(G4:G53)</f>
        <v>525</v>
      </c>
    </row>
    <row r="56" spans="1:7" x14ac:dyDescent="0.35">
      <c r="B56">
        <f>MIN(B4:B53)</f>
        <v>25</v>
      </c>
      <c r="C56">
        <f>MIN(C4:C53)</f>
        <v>0</v>
      </c>
      <c r="E56" s="1">
        <f>MIN(E4:E53)</f>
        <v>250</v>
      </c>
      <c r="F56" s="5"/>
      <c r="G56" s="1">
        <f>MIN(G4:G53)</f>
        <v>250</v>
      </c>
    </row>
    <row r="57" spans="1:7" x14ac:dyDescent="0.35">
      <c r="B57">
        <f>SUM(B4:B53)</f>
        <v>1940</v>
      </c>
      <c r="C57">
        <f>SUMIF(C4:C53,"&gt;1")</f>
        <v>75</v>
      </c>
      <c r="E57" s="1">
        <f>SUM(E4:E53)</f>
        <v>19400</v>
      </c>
      <c r="F57" s="5"/>
      <c r="G57" s="1">
        <f>SUM(G4:G53)</f>
        <v>20525</v>
      </c>
    </row>
    <row r="58" spans="1:7" x14ac:dyDescent="0.35">
      <c r="B58">
        <f>AVERAGE(B4:B53)</f>
        <v>38.799999999999997</v>
      </c>
      <c r="C58">
        <f>AVERAGE(C4:C53)</f>
        <v>1.5</v>
      </c>
      <c r="E58" s="1">
        <f>AVERAGE(E4:E53)</f>
        <v>388</v>
      </c>
      <c r="F58" s="5"/>
      <c r="G58" s="1">
        <f>AVERAGE(G4:G53)</f>
        <v>410.5</v>
      </c>
    </row>
  </sheetData>
  <mergeCells count="1">
    <mergeCell ref="A1:G1"/>
  </mergeCells>
  <conditionalFormatting sqref="G4:G53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4980B-7513-4129-9534-A17745A5F1D3}">
  <dimension ref="A1:K63"/>
  <sheetViews>
    <sheetView topLeftCell="A32" workbookViewId="0">
      <selection activeCell="J11" sqref="J11"/>
    </sheetView>
  </sheetViews>
  <sheetFormatPr defaultRowHeight="14.5" x14ac:dyDescent="0.35"/>
  <cols>
    <col min="1" max="1" width="7.6328125" bestFit="1" customWidth="1"/>
    <col min="2" max="2" width="6.6328125" bestFit="1" customWidth="1"/>
    <col min="3" max="3" width="10.90625" bestFit="1" customWidth="1"/>
    <col min="4" max="4" width="14.26953125" bestFit="1" customWidth="1"/>
    <col min="5" max="5" width="9.7265625" customWidth="1"/>
    <col min="8" max="8" width="12.36328125" bestFit="1" customWidth="1"/>
    <col min="9" max="9" width="35.90625" bestFit="1" customWidth="1"/>
    <col min="10" max="10" width="33.81640625" bestFit="1" customWidth="1"/>
    <col min="11" max="11" width="19.7265625" bestFit="1" customWidth="1"/>
    <col min="12" max="12" width="6.453125" bestFit="1" customWidth="1"/>
    <col min="13" max="13" width="4.81640625" bestFit="1" customWidth="1"/>
    <col min="14" max="14" width="5.7265625" bestFit="1" customWidth="1"/>
    <col min="15" max="17" width="4.81640625" bestFit="1" customWidth="1"/>
    <col min="18" max="18" width="9" bestFit="1" customWidth="1"/>
    <col min="19" max="20" width="4.81640625" bestFit="1" customWidth="1"/>
    <col min="21" max="21" width="7.1796875" bestFit="1" customWidth="1"/>
    <col min="22" max="22" width="6.26953125" bestFit="1" customWidth="1"/>
    <col min="23" max="23" width="7.1796875" bestFit="1" customWidth="1"/>
    <col min="24" max="24" width="6.54296875" bestFit="1" customWidth="1"/>
    <col min="25" max="25" width="5.1796875" bestFit="1" customWidth="1"/>
    <col min="26" max="26" width="6.453125" bestFit="1" customWidth="1"/>
    <col min="27" max="27" width="4.81640625" bestFit="1" customWidth="1"/>
    <col min="28" max="28" width="6.81640625" bestFit="1" customWidth="1"/>
    <col min="29" max="29" width="6.1796875" bestFit="1" customWidth="1"/>
    <col min="30" max="31" width="4.81640625" bestFit="1" customWidth="1"/>
    <col min="32" max="32" width="8.1796875" bestFit="1" customWidth="1"/>
    <col min="33" max="33" width="4.90625" bestFit="1" customWidth="1"/>
    <col min="34" max="34" width="7.6328125" bestFit="1" customWidth="1"/>
    <col min="35" max="35" width="4.81640625" bestFit="1" customWidth="1"/>
    <col min="36" max="36" width="6.81640625" bestFit="1" customWidth="1"/>
    <col min="37" max="37" width="8.26953125" bestFit="1" customWidth="1"/>
    <col min="38" max="38" width="7.6328125" bestFit="1" customWidth="1"/>
    <col min="39" max="39" width="4.90625" bestFit="1" customWidth="1"/>
    <col min="40" max="40" width="8.26953125" bestFit="1" customWidth="1"/>
    <col min="41" max="41" width="6.54296875" bestFit="1" customWidth="1"/>
    <col min="42" max="42" width="5.81640625" bestFit="1" customWidth="1"/>
    <col min="43" max="43" width="6.54296875" bestFit="1" customWidth="1"/>
    <col min="44" max="44" width="7" bestFit="1" customWidth="1"/>
    <col min="45" max="45" width="5.90625" bestFit="1" customWidth="1"/>
    <col min="46" max="46" width="6.08984375" bestFit="1" customWidth="1"/>
    <col min="47" max="47" width="7.81640625" bestFit="1" customWidth="1"/>
    <col min="48" max="48" width="7.54296875" bestFit="1" customWidth="1"/>
    <col min="49" max="49" width="4.81640625" bestFit="1" customWidth="1"/>
    <col min="50" max="50" width="8.6328125" bestFit="1" customWidth="1"/>
    <col min="51" max="51" width="6.90625" bestFit="1" customWidth="1"/>
    <col min="52" max="52" width="7" bestFit="1" customWidth="1"/>
    <col min="53" max="53" width="5.08984375" bestFit="1" customWidth="1"/>
    <col min="54" max="54" width="4.81640625" bestFit="1" customWidth="1"/>
    <col min="55" max="55" width="6.1796875" bestFit="1" customWidth="1"/>
    <col min="56" max="57" width="4.81640625" bestFit="1" customWidth="1"/>
    <col min="58" max="58" width="5.08984375" bestFit="1" customWidth="1"/>
    <col min="59" max="59" width="10.7265625" bestFit="1" customWidth="1"/>
  </cols>
  <sheetData>
    <row r="1" spans="1:11" x14ac:dyDescent="0.35">
      <c r="A1" s="18"/>
      <c r="B1" s="18"/>
      <c r="C1" s="18"/>
    </row>
    <row r="2" spans="1:11" x14ac:dyDescent="0.35">
      <c r="A2" s="18"/>
      <c r="B2" s="18"/>
      <c r="C2" s="18"/>
    </row>
    <row r="3" spans="1:11" ht="87" x14ac:dyDescent="0.35">
      <c r="A3" s="2" t="s">
        <v>85</v>
      </c>
      <c r="B3" s="2" t="s">
        <v>86</v>
      </c>
      <c r="C3" s="2" t="s">
        <v>87</v>
      </c>
      <c r="D3" s="7" t="s">
        <v>3</v>
      </c>
      <c r="E3" s="8"/>
      <c r="H3" s="20" t="s">
        <v>129</v>
      </c>
      <c r="I3" t="s">
        <v>131</v>
      </c>
      <c r="J3" t="s">
        <v>130</v>
      </c>
      <c r="K3" t="s">
        <v>128</v>
      </c>
    </row>
    <row r="4" spans="1:11" x14ac:dyDescent="0.35">
      <c r="A4" s="5">
        <f>SUM('1st day'!D4,'2nd day'!B4,'3rd day'!B4,'4thday'!B4,'5th to 15th day'!B4,'16th to 17th day'!B4,'18th to 22th day'!B4,)</f>
        <v>183</v>
      </c>
      <c r="B4">
        <f>SUM('1st day'!E4,'2nd day'!C4,'3rd day'!C4,'4thday'!C4,'5th to 15th day'!C4,'16th to 17th day'!C4,'18th to 22th day'!C4)</f>
        <v>17</v>
      </c>
      <c r="C4" s="1">
        <f>SUM('18th to 22th day'!G4,'16th to 17th day'!G4,'5th to 15th day'!G4,'4thday'!G4,'3rd day'!G4,'2nd day'!G4,'1st day'!I4,)</f>
        <v>2085</v>
      </c>
      <c r="D4" t="s">
        <v>4</v>
      </c>
      <c r="H4" s="22" t="s">
        <v>4</v>
      </c>
      <c r="I4" s="21">
        <v>17</v>
      </c>
      <c r="J4" s="21">
        <v>183</v>
      </c>
      <c r="K4" s="21">
        <v>2085</v>
      </c>
    </row>
    <row r="5" spans="1:11" x14ac:dyDescent="0.35">
      <c r="A5" s="5">
        <f>SUM('1st day'!D5,'2nd day'!B5,'3rd day'!B5,'4thday'!B5,'5th to 15th day'!B5,'16th to 17th day'!B5,'18th to 22th day'!B5,)</f>
        <v>175</v>
      </c>
      <c r="B5">
        <f>SUM('1st day'!E5,'2nd day'!C5,'3rd day'!C5,'4thday'!C5,'5th to 15th day'!C5,'16th to 17th day'!C5,'18th to 22th day'!C5)</f>
        <v>9</v>
      </c>
      <c r="C5" s="1">
        <f>SUM('18th to 22th day'!G5,'16th to 17th day'!G5,'5th to 15th day'!G5,'4thday'!G5,'3rd day'!G5,'2nd day'!G5,'1st day'!I5,)</f>
        <v>1885</v>
      </c>
      <c r="D5" t="s">
        <v>5</v>
      </c>
      <c r="H5" s="22" t="s">
        <v>98</v>
      </c>
      <c r="I5" s="21">
        <v>13</v>
      </c>
      <c r="J5" s="21">
        <v>179</v>
      </c>
      <c r="K5" s="21">
        <v>1985</v>
      </c>
    </row>
    <row r="6" spans="1:11" x14ac:dyDescent="0.35">
      <c r="A6" s="5">
        <f>SUM('1st day'!D6,'2nd day'!B6,'3rd day'!B6,'4thday'!B6,'5th to 15th day'!B6,'16th to 17th day'!B6,'18th to 22th day'!B6,)</f>
        <v>171</v>
      </c>
      <c r="B6">
        <f>SUM('1st day'!E6,'2nd day'!C6,'3rd day'!C6,'4thday'!C6,'5th to 15th day'!C6,'16th to 17th day'!C6,'18th to 22th day'!C6)</f>
        <v>7</v>
      </c>
      <c r="C6" s="1">
        <f>SUM('18th to 22th day'!G6,'16th to 17th day'!G6,'5th to 15th day'!G6,'4thday'!G6,'3rd day'!G6,'2nd day'!G6,'1st day'!I6,)</f>
        <v>1815</v>
      </c>
      <c r="D6" t="s">
        <v>95</v>
      </c>
      <c r="H6" s="22" t="s">
        <v>96</v>
      </c>
      <c r="I6" s="21">
        <v>11</v>
      </c>
      <c r="J6" s="21">
        <v>177</v>
      </c>
      <c r="K6" s="21">
        <v>1935</v>
      </c>
    </row>
    <row r="7" spans="1:11" x14ac:dyDescent="0.35">
      <c r="A7" s="5">
        <f>SUM('1st day'!D7,'2nd day'!B7,'3rd day'!B7,'4thday'!B7,'5th to 15th day'!B7,'16th to 17th day'!B7,'18th to 22th day'!B7,)</f>
        <v>177</v>
      </c>
      <c r="B7">
        <f>SUM('1st day'!E7,'2nd day'!C7,'3rd day'!C7,'4thday'!C7,'5th to 15th day'!C7,'16th to 17th day'!C7,'18th to 22th day'!C7)</f>
        <v>11</v>
      </c>
      <c r="C7" s="1">
        <f>SUM('18th to 22th day'!G7,'16th to 17th day'!G7,'5th to 15th day'!G7,'4thday'!G7,'3rd day'!G7,'2nd day'!G7,'1st day'!I7,)</f>
        <v>1935</v>
      </c>
      <c r="D7" t="s">
        <v>96</v>
      </c>
      <c r="H7" s="22" t="s">
        <v>97</v>
      </c>
      <c r="I7" s="21">
        <v>11</v>
      </c>
      <c r="J7" s="21">
        <v>177</v>
      </c>
      <c r="K7" s="21">
        <v>1935</v>
      </c>
    </row>
    <row r="8" spans="1:11" x14ac:dyDescent="0.35">
      <c r="A8" s="5">
        <f>SUM('1st day'!D8,'2nd day'!B8,'3rd day'!B8,'4thday'!B8,'5th to 15th day'!B8,'16th to 17th day'!B8,'18th to 22th day'!B8,)</f>
        <v>177</v>
      </c>
      <c r="B8">
        <f>SUM('1st day'!E8,'2nd day'!C8,'3rd day'!C8,'4thday'!C8,'5th to 15th day'!C8,'16th to 17th day'!C8,'18th to 22th day'!C8)</f>
        <v>11</v>
      </c>
      <c r="C8" s="1">
        <f>SUM('18th to 22th day'!G8,'16th to 17th day'!G8,'5th to 15th day'!G8,'4thday'!G8,'3rd day'!G8,'2nd day'!G8,'1st day'!I8,)</f>
        <v>1935</v>
      </c>
      <c r="D8" t="s">
        <v>97</v>
      </c>
      <c r="H8" s="22" t="s">
        <v>101</v>
      </c>
      <c r="I8" s="21">
        <v>9</v>
      </c>
      <c r="J8" s="21">
        <v>176</v>
      </c>
      <c r="K8" s="21">
        <v>1895</v>
      </c>
    </row>
    <row r="9" spans="1:11" x14ac:dyDescent="0.35">
      <c r="A9" s="5">
        <f>SUM('1st day'!D9,'2nd day'!B9,'3rd day'!B9,'4thday'!B9,'5th to 15th day'!B9,'16th to 17th day'!B9,'18th to 22th day'!B9,)</f>
        <v>179</v>
      </c>
      <c r="B9">
        <f>SUM('1st day'!E9,'2nd day'!C9,'3rd day'!C9,'4thday'!C9,'5th to 15th day'!C9,'16th to 17th day'!C9,'18th to 22th day'!C9)</f>
        <v>13</v>
      </c>
      <c r="C9" s="1">
        <f>SUM('18th to 22th day'!G9,'16th to 17th day'!G9,'5th to 15th day'!G9,'4thday'!G9,'3rd day'!G9,'2nd day'!G9,'1st day'!I9,)</f>
        <v>1985</v>
      </c>
      <c r="D9" t="s">
        <v>98</v>
      </c>
      <c r="H9" s="22" t="s">
        <v>103</v>
      </c>
      <c r="I9" s="21">
        <v>9</v>
      </c>
      <c r="J9" s="21">
        <v>176</v>
      </c>
      <c r="K9" s="21">
        <v>1895</v>
      </c>
    </row>
    <row r="10" spans="1:11" x14ac:dyDescent="0.35">
      <c r="A10" s="5">
        <f>SUM('1st day'!D10,'2nd day'!B10,'3rd day'!B10,'4thday'!B10,'5th to 15th day'!B10,'16th to 17th day'!B10,'18th to 22th day'!B10,)</f>
        <v>175</v>
      </c>
      <c r="B10">
        <f>SUM('1st day'!E10,'2nd day'!C10,'3rd day'!C10,'4thday'!C10,'5th to 15th day'!C10,'16th to 17th day'!C10,'18th to 22th day'!C10)</f>
        <v>9</v>
      </c>
      <c r="C10" s="1">
        <f>SUM('18th to 22th day'!G10,'16th to 17th day'!G10,'5th to 15th day'!G10,'4thday'!G10,'3rd day'!G10,'2nd day'!G10,'1st day'!I10,)</f>
        <v>1885</v>
      </c>
      <c r="D10" t="s">
        <v>99</v>
      </c>
      <c r="H10" s="22" t="s">
        <v>104</v>
      </c>
      <c r="I10" s="21">
        <v>9</v>
      </c>
      <c r="J10" s="21">
        <v>176</v>
      </c>
      <c r="K10" s="21">
        <v>1895</v>
      </c>
    </row>
    <row r="11" spans="1:11" x14ac:dyDescent="0.35">
      <c r="A11" s="5">
        <f>SUM('1st day'!D11,'2nd day'!B11,'3rd day'!B11,'4thday'!B11,'5th to 15th day'!B11,'16th to 17th day'!B11,'18th to 22th day'!B11,)</f>
        <v>175</v>
      </c>
      <c r="B11">
        <f>SUM('1st day'!E11,'2nd day'!C11,'3rd day'!C11,'4thday'!C11,'5th to 15th day'!C11,'16th to 17th day'!C11,'18th to 22th day'!C11)</f>
        <v>9</v>
      </c>
      <c r="C11" s="1">
        <f>SUM('18th to 22th day'!G11,'16th to 17th day'!G11,'5th to 15th day'!G11,'4thday'!G11,'3rd day'!G11,'2nd day'!G11,'1st day'!I11,)</f>
        <v>1885</v>
      </c>
      <c r="D11" t="s">
        <v>100</v>
      </c>
      <c r="H11" s="22" t="s">
        <v>100</v>
      </c>
      <c r="I11" s="21">
        <v>9</v>
      </c>
      <c r="J11" s="21">
        <v>175</v>
      </c>
      <c r="K11" s="21">
        <v>1885</v>
      </c>
    </row>
    <row r="12" spans="1:11" x14ac:dyDescent="0.35">
      <c r="A12" s="5">
        <f>SUM('1st day'!D12,'2nd day'!B12,'3rd day'!B12,'4thday'!B12,'5th to 15th day'!B12,'16th to 17th day'!B12,'18th to 22th day'!B12,)</f>
        <v>175</v>
      </c>
      <c r="B12">
        <f>SUM('1st day'!E12,'2nd day'!C12,'3rd day'!C12,'4thday'!C12,'5th to 15th day'!C12,'16th to 17th day'!C12,'18th to 22th day'!C12)</f>
        <v>9</v>
      </c>
      <c r="C12" s="1">
        <f>SUM('18th to 22th day'!G12,'16th to 17th day'!G12,'5th to 15th day'!G12,'4thday'!G12,'3rd day'!G12,'2nd day'!G12,'1st day'!I12,)</f>
        <v>1885</v>
      </c>
      <c r="D12" t="s">
        <v>6</v>
      </c>
      <c r="H12" s="22" t="s">
        <v>5</v>
      </c>
      <c r="I12" s="21">
        <v>9</v>
      </c>
      <c r="J12" s="21">
        <v>175</v>
      </c>
      <c r="K12" s="21">
        <v>1885</v>
      </c>
    </row>
    <row r="13" spans="1:11" x14ac:dyDescent="0.35">
      <c r="A13" s="5">
        <f>SUM('1st day'!D13,'2nd day'!B13,'3rd day'!B13,'4thday'!B13,'5th to 15th day'!B13,'16th to 17th day'!B13,'18th to 22th day'!B13,)</f>
        <v>175</v>
      </c>
      <c r="B13">
        <f>SUM('1st day'!E13,'2nd day'!C13,'3rd day'!C13,'4thday'!C13,'5th to 15th day'!C13,'16th to 17th day'!C13,'18th to 22th day'!C13)</f>
        <v>9</v>
      </c>
      <c r="C13" s="1">
        <f>SUM('18th to 22th day'!G13,'16th to 17th day'!G13,'5th to 15th day'!G13,'4thday'!G13,'3rd day'!G13,'2nd day'!G13,'1st day'!I13,)</f>
        <v>1885</v>
      </c>
      <c r="D13" t="s">
        <v>7</v>
      </c>
      <c r="H13" s="22" t="s">
        <v>6</v>
      </c>
      <c r="I13" s="21">
        <v>9</v>
      </c>
      <c r="J13" s="21">
        <v>175</v>
      </c>
      <c r="K13" s="21">
        <v>1885</v>
      </c>
    </row>
    <row r="14" spans="1:11" x14ac:dyDescent="0.35">
      <c r="A14" s="5">
        <f>SUM('1st day'!D14,'2nd day'!B14,'3rd day'!B14,'4thday'!B14,'5th to 15th day'!B14,'16th to 17th day'!B14,'18th to 22th day'!B14,)</f>
        <v>176</v>
      </c>
      <c r="B14">
        <f>SUM('1st day'!E14,'2nd day'!C14,'3rd day'!C14,'4thday'!C14,'5th to 15th day'!C14,'16th to 17th day'!C14,'18th to 22th day'!C14)</f>
        <v>9</v>
      </c>
      <c r="C14" s="1">
        <f>SUM('18th to 22th day'!G14,'16th to 17th day'!G14,'5th to 15th day'!G14,'4thday'!G14,'3rd day'!G14,'2nd day'!G14,'1st day'!I14,)</f>
        <v>1895</v>
      </c>
      <c r="D14" t="s">
        <v>101</v>
      </c>
      <c r="H14" s="22" t="s">
        <v>99</v>
      </c>
      <c r="I14" s="21">
        <v>9</v>
      </c>
      <c r="J14" s="21">
        <v>175</v>
      </c>
      <c r="K14" s="21">
        <v>1885</v>
      </c>
    </row>
    <row r="15" spans="1:11" x14ac:dyDescent="0.35">
      <c r="A15" s="5">
        <f>SUM('1st day'!D15,'2nd day'!B15,'3rd day'!B15,'4thday'!B15,'5th to 15th day'!B15,'16th to 17th day'!B15,'18th to 22th day'!B15,)</f>
        <v>174</v>
      </c>
      <c r="B15">
        <f>SUM('1st day'!E15,'2nd day'!C15,'3rd day'!C15,'4thday'!C15,'5th to 15th day'!C15,'16th to 17th day'!C15,'18th to 22th day'!C15)</f>
        <v>7</v>
      </c>
      <c r="C15" s="1">
        <f>SUM('18th to 22th day'!G15,'16th to 17th day'!G15,'5th to 15th day'!G15,'4thday'!G15,'3rd day'!G15,'2nd day'!G15,'1st day'!I15,)</f>
        <v>1845</v>
      </c>
      <c r="D15" t="s">
        <v>102</v>
      </c>
      <c r="H15" s="22" t="s">
        <v>7</v>
      </c>
      <c r="I15" s="21">
        <v>9</v>
      </c>
      <c r="J15" s="21">
        <v>175</v>
      </c>
      <c r="K15" s="21">
        <v>1885</v>
      </c>
    </row>
    <row r="16" spans="1:11" x14ac:dyDescent="0.35">
      <c r="A16" s="5">
        <f>SUM('1st day'!D16,'2nd day'!B16,'3rd day'!B16,'4thday'!B16,'5th to 15th day'!B16,'16th to 17th day'!B16,'18th to 22th day'!B16,)</f>
        <v>174</v>
      </c>
      <c r="B16">
        <f>SUM('1st day'!E16,'2nd day'!C16,'3rd day'!C16,'4thday'!C16,'5th to 15th day'!C16,'16th to 17th day'!C16,'18th to 22th day'!C16)</f>
        <v>7</v>
      </c>
      <c r="C16" s="1">
        <f>SUM('18th to 22th day'!G16,'16th to 17th day'!G16,'5th to 15th day'!G16,'4thday'!G16,'3rd day'!G16,'2nd day'!G16,'1st day'!I16,)</f>
        <v>1845</v>
      </c>
      <c r="D16" t="s">
        <v>8</v>
      </c>
      <c r="H16" s="22" t="s">
        <v>102</v>
      </c>
      <c r="I16" s="21">
        <v>7</v>
      </c>
      <c r="J16" s="21">
        <v>174</v>
      </c>
      <c r="K16" s="21">
        <v>1845</v>
      </c>
    </row>
    <row r="17" spans="1:11" x14ac:dyDescent="0.35">
      <c r="A17" s="5">
        <f>SUM('1st day'!D17,'2nd day'!B17,'3rd day'!B17,'4thday'!B17,'5th to 15th day'!B17,'16th to 17th day'!B17,'18th to 22th day'!B17,)</f>
        <v>176</v>
      </c>
      <c r="B17">
        <f>SUM('1st day'!E17,'2nd day'!C17,'3rd day'!C17,'4thday'!C17,'5th to 15th day'!C17,'16th to 17th day'!C17,'18th to 22th day'!C17)</f>
        <v>9</v>
      </c>
      <c r="C17" s="1">
        <f>SUM('18th to 22th day'!G17,'16th to 17th day'!G17,'5th to 15th day'!G17,'4thday'!G17,'3rd day'!G17,'2nd day'!G17,'1st day'!I17,)</f>
        <v>1895</v>
      </c>
      <c r="D17" t="s">
        <v>103</v>
      </c>
      <c r="H17" s="22" t="s">
        <v>8</v>
      </c>
      <c r="I17" s="21">
        <v>7</v>
      </c>
      <c r="J17" s="21">
        <v>174</v>
      </c>
      <c r="K17" s="21">
        <v>1845</v>
      </c>
    </row>
    <row r="18" spans="1:11" x14ac:dyDescent="0.35">
      <c r="A18" s="5">
        <f>SUM('1st day'!D18,'2nd day'!B18,'3rd day'!B18,'4thday'!B18,'5th to 15th day'!B18,'16th to 17th day'!B18,'18th to 22th day'!B18,)</f>
        <v>176</v>
      </c>
      <c r="B18">
        <f>SUM('1st day'!E18,'2nd day'!C18,'3rd day'!C18,'4thday'!C18,'5th to 15th day'!C18,'16th to 17th day'!C18,'18th to 22th day'!C18)</f>
        <v>9</v>
      </c>
      <c r="C18" s="1">
        <f>SUM('18th to 22th day'!G18,'16th to 17th day'!G18,'5th to 15th day'!G18,'4thday'!G18,'3rd day'!G18,'2nd day'!G18,'1st day'!I18,)</f>
        <v>1895</v>
      </c>
      <c r="D18" t="s">
        <v>104</v>
      </c>
      <c r="H18" s="22" t="s">
        <v>95</v>
      </c>
      <c r="I18" s="21">
        <v>7</v>
      </c>
      <c r="J18" s="21">
        <v>171</v>
      </c>
      <c r="K18" s="21">
        <v>1815</v>
      </c>
    </row>
    <row r="19" spans="1:11" x14ac:dyDescent="0.35">
      <c r="A19" s="5">
        <f>SUM('1st day'!D19,'2nd day'!B19,'3rd day'!B19,'4thday'!B19,'5th to 15th day'!B19,'16th to 17th day'!B19,'18th to 22th day'!B19,)</f>
        <v>171</v>
      </c>
      <c r="B19">
        <f>SUM('1st day'!E19,'2nd day'!C19,'3rd day'!C19,'4thday'!C19,'5th to 15th day'!C19,'16th to 17th day'!C19,'18th to 22th day'!C19)</f>
        <v>4</v>
      </c>
      <c r="C19" s="1">
        <f>SUM('18th to 22th day'!G19,'16th to 17th day'!G19,'5th to 15th day'!G19,'4thday'!G19,'3rd day'!G19,'2nd day'!G19,'1st day'!I19,)</f>
        <v>1770</v>
      </c>
      <c r="D19" t="s">
        <v>105</v>
      </c>
      <c r="H19" s="22" t="s">
        <v>113</v>
      </c>
      <c r="I19" s="21">
        <v>5</v>
      </c>
      <c r="J19" s="21">
        <v>173</v>
      </c>
      <c r="K19" s="21">
        <v>1805</v>
      </c>
    </row>
    <row r="20" spans="1:11" x14ac:dyDescent="0.35">
      <c r="A20" s="5">
        <f>SUM('1st day'!D20,'2nd day'!B20,'3rd day'!B20,'4thday'!B20,'5th to 15th day'!B20,'16th to 17th day'!B20,'18th to 22th day'!B20,)</f>
        <v>168</v>
      </c>
      <c r="B20">
        <f>SUM('1st day'!E20,'2nd day'!C20,'3rd day'!C20,'4thday'!C20,'5th to 15th day'!C20,'16th to 17th day'!C20,'18th to 22th day'!C20)</f>
        <v>2</v>
      </c>
      <c r="C20" s="1">
        <f>SUM('18th to 22th day'!G20,'16th to 17th day'!G20,'5th to 15th day'!G20,'4thday'!G20,'3rd day'!G20,'2nd day'!G20,'1st day'!I20,)</f>
        <v>1710</v>
      </c>
      <c r="D20" t="s">
        <v>106</v>
      </c>
      <c r="H20" s="22" t="s">
        <v>112</v>
      </c>
      <c r="I20" s="21">
        <v>5</v>
      </c>
      <c r="J20" s="21">
        <v>173</v>
      </c>
      <c r="K20" s="21">
        <v>1805</v>
      </c>
    </row>
    <row r="21" spans="1:11" x14ac:dyDescent="0.35">
      <c r="A21" s="5">
        <f>SUM('1st day'!D21,'2nd day'!B21,'3rd day'!B21,'4thday'!B21,'5th to 15th day'!B21,'16th to 17th day'!B21,'18th to 22th day'!B21,)</f>
        <v>168</v>
      </c>
      <c r="B21">
        <f>SUM('1st day'!E21,'2nd day'!C21,'3rd day'!C21,'4thday'!C21,'5th to 15th day'!C21,'16th to 17th day'!C21,'18th to 22th day'!C21)</f>
        <v>2</v>
      </c>
      <c r="C21" s="1">
        <f>SUM('18th to 22th day'!G21,'16th to 17th day'!G21,'5th to 15th day'!G21,'4thday'!G21,'3rd day'!G21,'2nd day'!G21,'1st day'!I21,)</f>
        <v>1710</v>
      </c>
      <c r="D21" t="s">
        <v>107</v>
      </c>
      <c r="H21" s="22" t="s">
        <v>114</v>
      </c>
      <c r="I21" s="21">
        <v>5</v>
      </c>
      <c r="J21" s="21">
        <v>173</v>
      </c>
      <c r="K21" s="21">
        <v>1805</v>
      </c>
    </row>
    <row r="22" spans="1:11" x14ac:dyDescent="0.35">
      <c r="A22" s="5">
        <f>SUM('1st day'!D22,'2nd day'!B22,'3rd day'!B22,'4thday'!B22,'5th to 15th day'!B22,'16th to 17th day'!B22,'18th to 22th day'!B22,)</f>
        <v>168</v>
      </c>
      <c r="B22">
        <f>SUM('1st day'!E22,'2nd day'!C22,'3rd day'!C22,'4thday'!C22,'5th to 15th day'!C22,'16th to 17th day'!C22,'18th to 22th day'!C22)</f>
        <v>2</v>
      </c>
      <c r="C22" s="1">
        <f>SUM('18th to 22th day'!G22,'16th to 17th day'!G22,'5th to 15th day'!G22,'4thday'!G22,'3rd day'!G22,'2nd day'!G22,'1st day'!I22,)</f>
        <v>1710</v>
      </c>
      <c r="D22" t="s">
        <v>108</v>
      </c>
      <c r="H22" s="22" t="s">
        <v>115</v>
      </c>
      <c r="I22" s="21">
        <v>5</v>
      </c>
      <c r="J22" s="21">
        <v>171</v>
      </c>
      <c r="K22" s="21">
        <v>1785</v>
      </c>
    </row>
    <row r="23" spans="1:11" x14ac:dyDescent="0.35">
      <c r="A23" s="5">
        <f>SUM('1st day'!D23,'2nd day'!B23,'3rd day'!B23,'4thday'!B23,'5th to 15th day'!B23,'16th to 17th day'!B23,'18th to 22th day'!B23,)</f>
        <v>170</v>
      </c>
      <c r="B23">
        <f>SUM('1st day'!E23,'2nd day'!C23,'3rd day'!C23,'4thday'!C23,'5th to 15th day'!C23,'16th to 17th day'!C23,'18th to 22th day'!C23)</f>
        <v>3</v>
      </c>
      <c r="C23" s="1">
        <f>SUM('18th to 22th day'!G23,'16th to 17th day'!G23,'5th to 15th day'!G23,'4thday'!G23,'3rd day'!G23,'2nd day'!G23,'1st day'!I23,)</f>
        <v>1745</v>
      </c>
      <c r="D23" t="s">
        <v>109</v>
      </c>
      <c r="H23" s="22" t="s">
        <v>105</v>
      </c>
      <c r="I23" s="21">
        <v>4</v>
      </c>
      <c r="J23" s="21">
        <v>171</v>
      </c>
      <c r="K23" s="21">
        <v>1770</v>
      </c>
    </row>
    <row r="24" spans="1:11" x14ac:dyDescent="0.35">
      <c r="A24" s="5">
        <f>SUM('1st day'!D24,'2nd day'!B24,'3rd day'!B24,'4thday'!B24,'5th to 15th day'!B24,'16th to 17th day'!B24,'18th to 22th day'!B24,)</f>
        <v>170</v>
      </c>
      <c r="B24">
        <f>SUM('1st day'!E24,'2nd day'!C24,'3rd day'!C24,'4thday'!C24,'5th to 15th day'!C24,'16th to 17th day'!C24,'18th to 22th day'!C24)</f>
        <v>3</v>
      </c>
      <c r="C24" s="1">
        <f>SUM('18th to 22th day'!G24,'16th to 17th day'!G24,'5th to 15th day'!G24,'4thday'!G24,'3rd day'!G24,'2nd day'!G24,'1st day'!I24,)</f>
        <v>1745</v>
      </c>
      <c r="D24" t="s">
        <v>110</v>
      </c>
      <c r="H24" s="22" t="s">
        <v>111</v>
      </c>
      <c r="I24" s="21">
        <v>3</v>
      </c>
      <c r="J24" s="21">
        <v>170</v>
      </c>
      <c r="K24" s="21">
        <v>1745</v>
      </c>
    </row>
    <row r="25" spans="1:11" x14ac:dyDescent="0.35">
      <c r="A25" s="5">
        <f>SUM('1st day'!D25,'2nd day'!B25,'3rd day'!B25,'4thday'!B25,'5th to 15th day'!B25,'16th to 17th day'!B25,'18th to 22th day'!B25,)</f>
        <v>170</v>
      </c>
      <c r="B25">
        <f>SUM('1st day'!E25,'2nd day'!C25,'3rd day'!C25,'4thday'!C25,'5th to 15th day'!C25,'16th to 17th day'!C25,'18th to 22th day'!C25)</f>
        <v>3</v>
      </c>
      <c r="C25" s="1">
        <f>SUM('18th to 22th day'!G25,'16th to 17th day'!G25,'5th to 15th day'!G25,'4thday'!G25,'3rd day'!G25,'2nd day'!G25,'1st day'!I25,)</f>
        <v>1745</v>
      </c>
      <c r="D25" t="s">
        <v>111</v>
      </c>
      <c r="H25" s="22" t="s">
        <v>109</v>
      </c>
      <c r="I25" s="21">
        <v>3</v>
      </c>
      <c r="J25" s="21">
        <v>170</v>
      </c>
      <c r="K25" s="21">
        <v>1745</v>
      </c>
    </row>
    <row r="26" spans="1:11" x14ac:dyDescent="0.35">
      <c r="A26" s="5">
        <f>SUM('1st day'!D26,'2nd day'!B26,'3rd day'!B26,'4thday'!B26,'5th to 15th day'!B26,'16th to 17th day'!B26,'18th to 22th day'!B26,)</f>
        <v>173</v>
      </c>
      <c r="B26">
        <f>SUM('1st day'!E26,'2nd day'!C26,'3rd day'!C26,'4thday'!C26,'5th to 15th day'!C26,'16th to 17th day'!C26,'18th to 22th day'!C26)</f>
        <v>5</v>
      </c>
      <c r="C26" s="1">
        <f>SUM('18th to 22th day'!G26,'16th to 17th day'!G26,'5th to 15th day'!G26,'4thday'!G26,'3rd day'!G26,'2nd day'!G26,'1st day'!I26,)</f>
        <v>1805</v>
      </c>
      <c r="D26" t="s">
        <v>112</v>
      </c>
      <c r="H26" s="22" t="s">
        <v>110</v>
      </c>
      <c r="I26" s="21">
        <v>3</v>
      </c>
      <c r="J26" s="21">
        <v>170</v>
      </c>
      <c r="K26" s="21">
        <v>1745</v>
      </c>
    </row>
    <row r="27" spans="1:11" x14ac:dyDescent="0.35">
      <c r="A27" s="5">
        <f>SUM('1st day'!D27,'2nd day'!B27,'3rd day'!B27,'4thday'!B27,'5th to 15th day'!B27,'16th to 17th day'!B27,'18th to 22th day'!B27,)</f>
        <v>173</v>
      </c>
      <c r="B27">
        <f>SUM('1st day'!E27,'2nd day'!C27,'3rd day'!C27,'4thday'!C27,'5th to 15th day'!C27,'16th to 17th day'!C27,'18th to 22th day'!C27)</f>
        <v>5</v>
      </c>
      <c r="C27" s="1">
        <f>SUM('18th to 22th day'!G27,'16th to 17th day'!G27,'5th to 15th day'!G27,'4thday'!G27,'3rd day'!G27,'2nd day'!G27,'1st day'!I27,)</f>
        <v>1805</v>
      </c>
      <c r="D27" t="s">
        <v>113</v>
      </c>
      <c r="H27" s="22" t="s">
        <v>119</v>
      </c>
      <c r="I27" s="21">
        <v>3</v>
      </c>
      <c r="J27" s="21">
        <v>169</v>
      </c>
      <c r="K27" s="21">
        <v>1735</v>
      </c>
    </row>
    <row r="28" spans="1:11" x14ac:dyDescent="0.35">
      <c r="A28" s="5">
        <f>SUM('1st day'!D28,'2nd day'!B28,'3rd day'!B28,'4thday'!B28,'5th to 15th day'!B28,'16th to 17th day'!B28,'18th to 22th day'!B28,)</f>
        <v>173</v>
      </c>
      <c r="B28">
        <f>SUM('1st day'!E28,'2nd day'!C28,'3rd day'!C28,'4thday'!C28,'5th to 15th day'!C28,'16th to 17th day'!C28,'18th to 22th day'!C28)</f>
        <v>5</v>
      </c>
      <c r="C28" s="1">
        <f>SUM('18th to 22th day'!G28,'16th to 17th day'!G28,'5th to 15th day'!G28,'4thday'!G28,'3rd day'!G28,'2nd day'!G28,'1st day'!I28,)</f>
        <v>1805</v>
      </c>
      <c r="D28" t="s">
        <v>114</v>
      </c>
      <c r="H28" s="22" t="s">
        <v>118</v>
      </c>
      <c r="I28" s="21">
        <v>3</v>
      </c>
      <c r="J28" s="21">
        <v>169</v>
      </c>
      <c r="K28" s="21">
        <v>1735</v>
      </c>
    </row>
    <row r="29" spans="1:11" x14ac:dyDescent="0.35">
      <c r="A29" s="5">
        <f>SUM('1st day'!D29,'2nd day'!B29,'3rd day'!B29,'4thday'!B29,'5th to 15th day'!B29,'16th to 17th day'!B29,'18th to 22th day'!B29,)</f>
        <v>171</v>
      </c>
      <c r="B29">
        <f>SUM('1st day'!E29,'2nd day'!C29,'3rd day'!C29,'4thday'!C29,'5th to 15th day'!C29,'16th to 17th day'!C29,'18th to 22th day'!C29)</f>
        <v>5</v>
      </c>
      <c r="C29" s="1">
        <f>SUM('18th to 22th day'!G29,'16th to 17th day'!G29,'5th to 15th day'!G29,'4thday'!G29,'3rd day'!G29,'2nd day'!G29,'1st day'!I29,)</f>
        <v>1785</v>
      </c>
      <c r="D29" t="s">
        <v>115</v>
      </c>
      <c r="H29" s="22" t="s">
        <v>117</v>
      </c>
      <c r="I29" s="21">
        <v>3</v>
      </c>
      <c r="J29" s="21">
        <v>169</v>
      </c>
      <c r="K29" s="21">
        <v>1735</v>
      </c>
    </row>
    <row r="30" spans="1:11" x14ac:dyDescent="0.35">
      <c r="A30" s="5">
        <f>SUM('1st day'!D30,'2nd day'!B30,'3rd day'!B30,'4thday'!B30,'5th to 15th day'!B30,'16th to 17th day'!B30,'18th to 22th day'!B30,)</f>
        <v>169</v>
      </c>
      <c r="B30">
        <f>SUM('1st day'!E30,'2nd day'!C30,'3rd day'!C30,'4thday'!C30,'5th to 15th day'!C30,'16th to 17th day'!C30,'18th to 22th day'!C30)</f>
        <v>3</v>
      </c>
      <c r="C30" s="1">
        <f>SUM('18th to 22th day'!G30,'16th to 17th day'!G30,'5th to 15th day'!G30,'4thday'!G30,'3rd day'!G30,'2nd day'!G30,'1st day'!I30,)</f>
        <v>1735</v>
      </c>
      <c r="D30" t="s">
        <v>116</v>
      </c>
      <c r="H30" s="22" t="s">
        <v>116</v>
      </c>
      <c r="I30" s="21">
        <v>3</v>
      </c>
      <c r="J30" s="21">
        <v>169</v>
      </c>
      <c r="K30" s="21">
        <v>1735</v>
      </c>
    </row>
    <row r="31" spans="1:11" x14ac:dyDescent="0.35">
      <c r="A31" s="5">
        <f>SUM('1st day'!D31,'2nd day'!B31,'3rd day'!B31,'4thday'!B31,'5th to 15th day'!B31,'16th to 17th day'!B31,'18th to 22th day'!B31,)</f>
        <v>169</v>
      </c>
      <c r="B31">
        <f>SUM('1st day'!E31,'2nd day'!C31,'3rd day'!C31,'4thday'!C31,'5th to 15th day'!C31,'16th to 17th day'!C31,'18th to 22th day'!C31)</f>
        <v>3</v>
      </c>
      <c r="C31" s="1">
        <f>SUM('18th to 22th day'!G31,'16th to 17th day'!G31,'5th to 15th day'!G31,'4thday'!G31,'3rd day'!G31,'2nd day'!G31,'1st day'!I31,)</f>
        <v>1735</v>
      </c>
      <c r="D31" t="s">
        <v>117</v>
      </c>
      <c r="H31" s="22" t="s">
        <v>108</v>
      </c>
      <c r="I31" s="21">
        <v>2</v>
      </c>
      <c r="J31" s="21">
        <v>168</v>
      </c>
      <c r="K31" s="21">
        <v>1710</v>
      </c>
    </row>
    <row r="32" spans="1:11" x14ac:dyDescent="0.35">
      <c r="A32" s="5">
        <f>SUM('1st day'!D32,'2nd day'!B32,'3rd day'!B32,'4thday'!B32,'5th to 15th day'!B32,'16th to 17th day'!B32,'18th to 22th day'!B32,)</f>
        <v>169</v>
      </c>
      <c r="B32">
        <f>SUM('1st day'!E32,'2nd day'!C32,'3rd day'!C32,'4thday'!C32,'5th to 15th day'!C32,'16th to 17th day'!C32,'18th to 22th day'!C32)</f>
        <v>3</v>
      </c>
      <c r="C32" s="1">
        <f>SUM('18th to 22th day'!G32,'16th to 17th day'!G32,'5th to 15th day'!G32,'4thday'!G32,'3rd day'!G32,'2nd day'!G32,'1st day'!I32,)</f>
        <v>1735</v>
      </c>
      <c r="D32" t="s">
        <v>118</v>
      </c>
      <c r="H32" s="22" t="s">
        <v>122</v>
      </c>
      <c r="I32" s="21">
        <v>2</v>
      </c>
      <c r="J32" s="21">
        <v>168</v>
      </c>
      <c r="K32" s="21">
        <v>1710</v>
      </c>
    </row>
    <row r="33" spans="1:11" x14ac:dyDescent="0.35">
      <c r="A33" s="5">
        <f>SUM('1st day'!D33,'2nd day'!B33,'3rd day'!B33,'4thday'!B33,'5th to 15th day'!B33,'16th to 17th day'!B33,'18th to 22th day'!B33,)</f>
        <v>169</v>
      </c>
      <c r="B33">
        <f>SUM('1st day'!E33,'2nd day'!C33,'3rd day'!C33,'4thday'!C33,'5th to 15th day'!C33,'16th to 17th day'!C33,'18th to 22th day'!C33)</f>
        <v>3</v>
      </c>
      <c r="C33" s="1">
        <f>SUM('18th to 22th day'!G33,'16th to 17th day'!G33,'5th to 15th day'!G33,'4thday'!G33,'3rd day'!G33,'2nd day'!G33,'1st day'!I33,)</f>
        <v>1735</v>
      </c>
      <c r="D33" t="s">
        <v>119</v>
      </c>
      <c r="H33" s="22" t="s">
        <v>107</v>
      </c>
      <c r="I33" s="21">
        <v>2</v>
      </c>
      <c r="J33" s="21">
        <v>168</v>
      </c>
      <c r="K33" s="21">
        <v>1710</v>
      </c>
    </row>
    <row r="34" spans="1:11" x14ac:dyDescent="0.35">
      <c r="A34" s="5">
        <f>SUM('1st day'!D34,'2nd day'!B34,'3rd day'!B34,'4thday'!B34,'5th to 15th day'!B34,'16th to 17th day'!B34,'18th to 22th day'!B34,)</f>
        <v>168</v>
      </c>
      <c r="B34">
        <f>SUM('1st day'!E34,'2nd day'!C34,'3rd day'!C34,'4thday'!C34,'5th to 15th day'!C34,'16th to 17th day'!C34,'18th to 22th day'!C34)</f>
        <v>2</v>
      </c>
      <c r="C34" s="1">
        <f>SUM('18th to 22th day'!G34,'16th to 17th day'!G34,'5th to 15th day'!G34,'4thday'!G34,'3rd day'!G34,'2nd day'!G34,'1st day'!I34,)</f>
        <v>1710</v>
      </c>
      <c r="D34" t="s">
        <v>120</v>
      </c>
      <c r="H34" s="22" t="s">
        <v>121</v>
      </c>
      <c r="I34" s="21">
        <v>2</v>
      </c>
      <c r="J34" s="21">
        <v>168</v>
      </c>
      <c r="K34" s="21">
        <v>1710</v>
      </c>
    </row>
    <row r="35" spans="1:11" x14ac:dyDescent="0.35">
      <c r="A35" s="5">
        <f>SUM('1st day'!D35,'2nd day'!B35,'3rd day'!B35,'4thday'!B35,'5th to 15th day'!B35,'16th to 17th day'!B35,'18th to 22th day'!B35,)</f>
        <v>168</v>
      </c>
      <c r="B35">
        <f>SUM('1st day'!E35,'2nd day'!C35,'3rd day'!C35,'4thday'!C35,'5th to 15th day'!C35,'16th to 17th day'!C35,'18th to 22th day'!C35)</f>
        <v>2</v>
      </c>
      <c r="C35" s="1">
        <f>SUM('18th to 22th day'!G35,'16th to 17th day'!G35,'5th to 15th day'!G35,'4thday'!G35,'3rd day'!G35,'2nd day'!G35,'1st day'!I35,)</f>
        <v>1710</v>
      </c>
      <c r="D35" t="s">
        <v>121</v>
      </c>
      <c r="H35" s="22" t="s">
        <v>106</v>
      </c>
      <c r="I35" s="21">
        <v>2</v>
      </c>
      <c r="J35" s="21">
        <v>168</v>
      </c>
      <c r="K35" s="21">
        <v>1710</v>
      </c>
    </row>
    <row r="36" spans="1:11" x14ac:dyDescent="0.35">
      <c r="A36" s="5">
        <f>SUM('1st day'!D36,'2nd day'!B36,'3rd day'!B36,'4thday'!B36,'5th to 15th day'!B36,'16th to 17th day'!B36,'18th to 22th day'!B36,)</f>
        <v>168</v>
      </c>
      <c r="B36">
        <f>SUM('1st day'!E36,'2nd day'!C36,'3rd day'!C36,'4thday'!C36,'5th to 15th day'!C36,'16th to 17th day'!C36,'18th to 22th day'!C36)</f>
        <v>2</v>
      </c>
      <c r="C36" s="1">
        <f>SUM('18th to 22th day'!G36,'16th to 17th day'!G36,'5th to 15th day'!G36,'4thday'!G36,'3rd day'!G36,'2nd day'!G36,'1st day'!I36,)</f>
        <v>1710</v>
      </c>
      <c r="D36" t="s">
        <v>122</v>
      </c>
      <c r="H36" s="22" t="s">
        <v>120</v>
      </c>
      <c r="I36" s="21">
        <v>2</v>
      </c>
      <c r="J36" s="21">
        <v>168</v>
      </c>
      <c r="K36" s="21">
        <v>1710</v>
      </c>
    </row>
    <row r="37" spans="1:11" x14ac:dyDescent="0.35">
      <c r="A37" s="5">
        <f>SUM('1st day'!D37,'2nd day'!B37,'3rd day'!B37,'4thday'!B37,'5th to 15th day'!B37,'16th to 17th day'!B37,'18th to 22th day'!B37,)</f>
        <v>163</v>
      </c>
      <c r="B37">
        <f>SUM('1st day'!E37,'2nd day'!C37,'3rd day'!C37,'4thday'!C37,'5th to 15th day'!C37,'16th to 17th day'!C37,'18th to 22th day'!C37)</f>
        <v>2</v>
      </c>
      <c r="C37" s="1">
        <f>SUM('18th to 22th day'!G37,'16th to 17th day'!G37,'5th to 15th day'!G37,'4thday'!G37,'3rd day'!G37,'2nd day'!G37,'1st day'!I37,)</f>
        <v>1660</v>
      </c>
      <c r="D37" t="s">
        <v>123</v>
      </c>
      <c r="H37" s="22" t="s">
        <v>9</v>
      </c>
      <c r="I37" s="21">
        <v>3</v>
      </c>
      <c r="J37" s="21">
        <v>162</v>
      </c>
      <c r="K37" s="21">
        <v>1665</v>
      </c>
    </row>
    <row r="38" spans="1:11" x14ac:dyDescent="0.35">
      <c r="A38" s="5">
        <f>SUM('1st day'!D38,'2nd day'!B38,'3rd day'!B38,'4thday'!B38,'5th to 15th day'!B38,'16th to 17th day'!B38,'18th to 22th day'!B38,)</f>
        <v>163</v>
      </c>
      <c r="B38">
        <f>SUM('1st day'!E38,'2nd day'!C38,'3rd day'!C38,'4thday'!C38,'5th to 15th day'!C38,'16th to 17th day'!C38,'18th to 22th day'!C38)</f>
        <v>2</v>
      </c>
      <c r="C38" s="1">
        <f>SUM('18th to 22th day'!G38,'16th to 17th day'!G38,'5th to 15th day'!G38,'4thday'!G38,'3rd day'!G38,'2nd day'!G38,'1st day'!I38,)</f>
        <v>1660</v>
      </c>
      <c r="D38" t="s">
        <v>124</v>
      </c>
      <c r="H38" s="22" t="s">
        <v>11</v>
      </c>
      <c r="I38" s="21">
        <v>3</v>
      </c>
      <c r="J38" s="21">
        <v>162</v>
      </c>
      <c r="K38" s="21">
        <v>1665</v>
      </c>
    </row>
    <row r="39" spans="1:11" x14ac:dyDescent="0.35">
      <c r="A39" s="5">
        <f>SUM('1st day'!D39,'2nd day'!B39,'3rd day'!B39,'4thday'!B39,'5th to 15th day'!B39,'16th to 17th day'!B39,'18th to 22th day'!B39,)</f>
        <v>163</v>
      </c>
      <c r="B39">
        <f>SUM('1st day'!E39,'2nd day'!C39,'3rd day'!C39,'4thday'!C39,'5th to 15th day'!C39,'16th to 17th day'!C39,'18th to 22th day'!C39)</f>
        <v>2</v>
      </c>
      <c r="C39" s="1">
        <f>SUM('18th to 22th day'!G39,'16th to 17th day'!G39,'5th to 15th day'!G39,'4thday'!G39,'3rd day'!G39,'2nd day'!G39,'1st day'!I39,)</f>
        <v>1660</v>
      </c>
      <c r="D39" t="s">
        <v>125</v>
      </c>
      <c r="H39" s="22" t="s">
        <v>10</v>
      </c>
      <c r="I39" s="21">
        <v>3</v>
      </c>
      <c r="J39" s="21">
        <v>162</v>
      </c>
      <c r="K39" s="21">
        <v>1665</v>
      </c>
    </row>
    <row r="40" spans="1:11" x14ac:dyDescent="0.35">
      <c r="A40" s="5">
        <f>SUM('1st day'!D40,'2nd day'!B40,'3rd day'!B40,'4thday'!B40,'5th to 15th day'!B40,'16th to 17th day'!B40,'18th to 22th day'!B40,)</f>
        <v>162</v>
      </c>
      <c r="B40">
        <f>SUM('1st day'!E40,'2nd day'!C40,'3rd day'!C40,'4thday'!C40,'5th to 15th day'!C40,'16th to 17th day'!C40,'18th to 22th day'!C40)</f>
        <v>3</v>
      </c>
      <c r="C40" s="1">
        <f>SUM('18th to 22th day'!G40,'16th to 17th day'!G40,'5th to 15th day'!G40,'4thday'!G40,'3rd day'!G40,'2nd day'!G40,'1st day'!I40,)</f>
        <v>1665</v>
      </c>
      <c r="D40" t="s">
        <v>9</v>
      </c>
      <c r="H40" s="22" t="s">
        <v>124</v>
      </c>
      <c r="I40" s="21">
        <v>2</v>
      </c>
      <c r="J40" s="21">
        <v>163</v>
      </c>
      <c r="K40" s="21">
        <v>1660</v>
      </c>
    </row>
    <row r="41" spans="1:11" x14ac:dyDescent="0.35">
      <c r="A41" s="5">
        <f>SUM('1st day'!D41,'2nd day'!B41,'3rd day'!B41,'4thday'!B41,'5th to 15th day'!B41,'16th to 17th day'!B41,'18th to 22th day'!B41,)</f>
        <v>162</v>
      </c>
      <c r="B41">
        <f>SUM('1st day'!E41,'2nd day'!C41,'3rd day'!C41,'4thday'!C41,'5th to 15th day'!C41,'16th to 17th day'!C41,'18th to 22th day'!C41)</f>
        <v>3</v>
      </c>
      <c r="C41" s="1">
        <f>SUM('18th to 22th day'!G41,'16th to 17th day'!G41,'5th to 15th day'!G41,'4thday'!G41,'3rd day'!G41,'2nd day'!G41,'1st day'!I41,)</f>
        <v>1665</v>
      </c>
      <c r="D41" t="s">
        <v>10</v>
      </c>
      <c r="H41" s="22" t="s">
        <v>125</v>
      </c>
      <c r="I41" s="21">
        <v>2</v>
      </c>
      <c r="J41" s="21">
        <v>163</v>
      </c>
      <c r="K41" s="21">
        <v>1660</v>
      </c>
    </row>
    <row r="42" spans="1:11" x14ac:dyDescent="0.35">
      <c r="A42" s="5">
        <f>SUM('1st day'!D42,'2nd day'!B42,'3rd day'!B42,'4thday'!B42,'5th to 15th day'!B42,'16th to 17th day'!B42,'18th to 22th day'!B42,)</f>
        <v>162</v>
      </c>
      <c r="B42">
        <f>SUM('1st day'!E42,'2nd day'!C42,'3rd day'!C42,'4thday'!C42,'5th to 15th day'!C42,'16th to 17th day'!C42,'18th to 22th day'!C42)</f>
        <v>3</v>
      </c>
      <c r="C42" s="1">
        <f>SUM('18th to 22th day'!G42,'16th to 17th day'!G42,'5th to 15th day'!G42,'4thday'!G42,'3rd day'!G42,'2nd day'!G42,'1st day'!I42,)</f>
        <v>1665</v>
      </c>
      <c r="D42" t="s">
        <v>11</v>
      </c>
      <c r="H42" s="22" t="s">
        <v>123</v>
      </c>
      <c r="I42" s="21">
        <v>2</v>
      </c>
      <c r="J42" s="21">
        <v>163</v>
      </c>
      <c r="K42" s="21">
        <v>1660</v>
      </c>
    </row>
    <row r="43" spans="1:11" x14ac:dyDescent="0.35">
      <c r="A43" s="5">
        <f>SUM('1st day'!D43,'2nd day'!B43,'3rd day'!B43,'4thday'!B43,'5th to 15th day'!B43,'16th to 17th day'!B43,'18th to 22th day'!B43,)</f>
        <v>157</v>
      </c>
      <c r="B43">
        <f>SUM('1st day'!E43,'2nd day'!C43,'3rd day'!C43,'4thday'!C43,'5th to 15th day'!C43,'16th to 17th day'!C43,'18th to 22th day'!C43)</f>
        <v>1</v>
      </c>
      <c r="C43" s="1">
        <f>SUM('18th to 22th day'!G43,'16th to 17th day'!G43,'5th to 15th day'!G43,'4thday'!G43,'3rd day'!G43,'2nd day'!G43,'1st day'!I43,)</f>
        <v>1585</v>
      </c>
      <c r="D43" t="s">
        <v>12</v>
      </c>
      <c r="H43" s="22" t="s">
        <v>16</v>
      </c>
      <c r="I43" s="21">
        <v>2</v>
      </c>
      <c r="J43" s="21">
        <v>160</v>
      </c>
      <c r="K43" s="21">
        <v>1630</v>
      </c>
    </row>
    <row r="44" spans="1:11" x14ac:dyDescent="0.35">
      <c r="A44" s="5">
        <f>SUM('1st day'!D44,'2nd day'!B44,'3rd day'!B44,'4thday'!B44,'5th to 15th day'!B44,'16th to 17th day'!B44,'18th to 22th day'!B44,)</f>
        <v>157</v>
      </c>
      <c r="B44">
        <f>SUM('1st day'!E44,'2nd day'!C44,'3rd day'!C44,'4thday'!C44,'5th to 15th day'!C44,'16th to 17th day'!C44,'18th to 22th day'!C44)</f>
        <v>1</v>
      </c>
      <c r="C44" s="1">
        <f>SUM('18th to 22th day'!G44,'16th to 17th day'!G44,'5th to 15th day'!G44,'4thday'!G44,'3rd day'!G44,'2nd day'!G44,'1st day'!I44,)</f>
        <v>1585</v>
      </c>
      <c r="D44" t="s">
        <v>13</v>
      </c>
      <c r="H44" s="22" t="s">
        <v>17</v>
      </c>
      <c r="I44" s="21">
        <v>2</v>
      </c>
      <c r="J44" s="21">
        <v>160</v>
      </c>
      <c r="K44" s="21">
        <v>1630</v>
      </c>
    </row>
    <row r="45" spans="1:11" x14ac:dyDescent="0.35">
      <c r="A45" s="5">
        <f>SUM('1st day'!D45,'2nd day'!B45,'3rd day'!B45,'4thday'!B45,'5th to 15th day'!B45,'16th to 17th day'!B45,'18th to 22th day'!B45,)</f>
        <v>157</v>
      </c>
      <c r="B45">
        <f>SUM('1st day'!E45,'2nd day'!C45,'3rd day'!C45,'4thday'!C45,'5th to 15th day'!C45,'16th to 17th day'!C45,'18th to 22th day'!C45)</f>
        <v>1</v>
      </c>
      <c r="C45" s="1">
        <f>SUM('18th to 22th day'!G45,'16th to 17th day'!G45,'5th to 15th day'!G45,'4thday'!G45,'3rd day'!G45,'2nd day'!G45,'1st day'!I45,)</f>
        <v>1585</v>
      </c>
      <c r="D45" t="s">
        <v>14</v>
      </c>
      <c r="H45" s="22" t="s">
        <v>15</v>
      </c>
      <c r="I45" s="21">
        <v>2</v>
      </c>
      <c r="J45" s="21">
        <v>158</v>
      </c>
      <c r="K45" s="21">
        <v>1610</v>
      </c>
    </row>
    <row r="46" spans="1:11" x14ac:dyDescent="0.35">
      <c r="A46" s="5">
        <f>SUM('1st day'!D46,'2nd day'!B46,'3rd day'!B46,'4thday'!B46,'5th to 15th day'!B46,'16th to 17th day'!B46,'18th to 22th day'!B46,)</f>
        <v>158</v>
      </c>
      <c r="B46">
        <f>SUM('1st day'!E46,'2nd day'!C46,'3rd day'!C46,'4thday'!C46,'5th to 15th day'!C46,'16th to 17th day'!C46,'18th to 22th day'!C46)</f>
        <v>2</v>
      </c>
      <c r="C46" s="1">
        <f>SUM('18th to 22th day'!G46,'16th to 17th day'!G46,'5th to 15th day'!G46,'4thday'!G46,'3rd day'!G46,'2nd day'!G46,'1st day'!I46,)</f>
        <v>1610</v>
      </c>
      <c r="D46" t="s">
        <v>15</v>
      </c>
      <c r="H46" s="22" t="s">
        <v>12</v>
      </c>
      <c r="I46" s="21">
        <v>1</v>
      </c>
      <c r="J46" s="21">
        <v>157</v>
      </c>
      <c r="K46" s="21">
        <v>1585</v>
      </c>
    </row>
    <row r="47" spans="1:11" x14ac:dyDescent="0.35">
      <c r="A47" s="5">
        <f>SUM('1st day'!D47,'2nd day'!B47,'3rd day'!B47,'4thday'!B47,'5th to 15th day'!B47,'16th to 17th day'!B47,'18th to 22th day'!B47,)</f>
        <v>160</v>
      </c>
      <c r="B47">
        <f>SUM('1st day'!E47,'2nd day'!C47,'3rd day'!C47,'4thday'!C47,'5th to 15th day'!C47,'16th to 17th day'!C47,'18th to 22th day'!C47)</f>
        <v>2</v>
      </c>
      <c r="C47" s="1">
        <f>SUM('18th to 22th day'!G47,'16th to 17th day'!G47,'5th to 15th day'!G47,'4thday'!G47,'3rd day'!G47,'2nd day'!G47,'1st day'!I47,)</f>
        <v>1630</v>
      </c>
      <c r="D47" t="s">
        <v>16</v>
      </c>
      <c r="H47" s="22" t="s">
        <v>13</v>
      </c>
      <c r="I47" s="21">
        <v>1</v>
      </c>
      <c r="J47" s="21">
        <v>157</v>
      </c>
      <c r="K47" s="21">
        <v>1585</v>
      </c>
    </row>
    <row r="48" spans="1:11" x14ac:dyDescent="0.35">
      <c r="A48" s="5">
        <f>SUM('1st day'!D48,'2nd day'!B48,'3rd day'!B48,'4thday'!B48,'5th to 15th day'!B48,'16th to 17th day'!B48,'18th to 22th day'!B48,)</f>
        <v>160</v>
      </c>
      <c r="B48">
        <f>SUM('1st day'!E48,'2nd day'!C48,'3rd day'!C48,'4thday'!C48,'5th to 15th day'!C48,'16th to 17th day'!C48,'18th to 22th day'!C48)</f>
        <v>2</v>
      </c>
      <c r="C48" s="1">
        <f>SUM('18th to 22th day'!G48,'16th to 17th day'!G48,'5th to 15th day'!G48,'4thday'!G48,'3rd day'!G48,'2nd day'!G48,'1st day'!I48,)</f>
        <v>1630</v>
      </c>
      <c r="D48" t="s">
        <v>17</v>
      </c>
      <c r="H48" s="22" t="s">
        <v>14</v>
      </c>
      <c r="I48" s="21">
        <v>1</v>
      </c>
      <c r="J48" s="21">
        <v>157</v>
      </c>
      <c r="K48" s="21">
        <v>1585</v>
      </c>
    </row>
    <row r="49" spans="1:11" x14ac:dyDescent="0.35">
      <c r="A49" s="5">
        <f>SUM('1st day'!D49,'2nd day'!B49,'3rd day'!B49,'4thday'!B49,'5th to 15th day'!B49,'16th to 17th day'!B49,'18th to 22th day'!B49,)</f>
        <v>150</v>
      </c>
      <c r="B49">
        <f>SUM('1st day'!E49,'2nd day'!C49,'3rd day'!C49,'4thday'!C49,'5th to 15th day'!C49,'16th to 17th day'!C49,'18th to 22th day'!C49)</f>
        <v>2</v>
      </c>
      <c r="C49" s="1">
        <f>SUM('18th to 22th day'!G49,'16th to 17th day'!G49,'5th to 15th day'!G49,'4thday'!G49,'3rd day'!G49,'2nd day'!G49,'1st day'!I49,)</f>
        <v>1530</v>
      </c>
      <c r="D49" t="s">
        <v>18</v>
      </c>
      <c r="H49" s="22" t="s">
        <v>18</v>
      </c>
      <c r="I49" s="21">
        <v>2</v>
      </c>
      <c r="J49" s="21">
        <v>150</v>
      </c>
      <c r="K49" s="21">
        <v>1530</v>
      </c>
    </row>
    <row r="50" spans="1:11" x14ac:dyDescent="0.35">
      <c r="A50" s="5">
        <f>SUM('1st day'!D50,'2nd day'!B50,'3rd day'!B50,'4thday'!B50,'5th to 15th day'!B50,'16th to 17th day'!B50,'18th to 22th day'!B50,)</f>
        <v>150</v>
      </c>
      <c r="B50">
        <f>SUM('1st day'!E50,'2nd day'!C50,'3rd day'!C50,'4thday'!C50,'5th to 15th day'!C50,'16th to 17th day'!C50,'18th to 22th day'!C50)</f>
        <v>2</v>
      </c>
      <c r="C50" s="1">
        <f>SUM('18th to 22th day'!G50,'16th to 17th day'!G50,'5th to 15th day'!G50,'4thday'!G50,'3rd day'!G50,'2nd day'!G50,'1st day'!I50,)</f>
        <v>1530</v>
      </c>
      <c r="D50" t="s">
        <v>19</v>
      </c>
      <c r="H50" s="22" t="s">
        <v>19</v>
      </c>
      <c r="I50" s="21">
        <v>2</v>
      </c>
      <c r="J50" s="21">
        <v>150</v>
      </c>
      <c r="K50" s="21">
        <v>1530</v>
      </c>
    </row>
    <row r="51" spans="1:11" x14ac:dyDescent="0.35">
      <c r="A51" s="5">
        <f>SUM('1st day'!D51,'2nd day'!B51,'3rd day'!B51,'4thday'!B51,'5th to 15th day'!B51,'16th to 17th day'!B51,'18th to 22th day'!B51,)</f>
        <v>148</v>
      </c>
      <c r="B51">
        <f>SUM('1st day'!E51,'2nd day'!C51,'3rd day'!C51,'4thday'!C51,'5th to 15th day'!C51,'16th to 17th day'!C51,'18th to 22th day'!C51)</f>
        <v>1</v>
      </c>
      <c r="C51" s="1">
        <f>SUM('18th to 22th day'!G51,'16th to 17th day'!G51,'5th to 15th day'!G51,'4thday'!G51,'3rd day'!G51,'2nd day'!G51,'1st day'!I51,)</f>
        <v>1415</v>
      </c>
      <c r="D51" t="s">
        <v>20</v>
      </c>
      <c r="H51" s="22" t="s">
        <v>126</v>
      </c>
      <c r="I51" s="21">
        <v>1</v>
      </c>
      <c r="J51" s="21">
        <v>148</v>
      </c>
      <c r="K51" s="21">
        <v>1495</v>
      </c>
    </row>
    <row r="52" spans="1:11" x14ac:dyDescent="0.35">
      <c r="A52" s="5">
        <f>SUM('1st day'!D52,'2nd day'!B52,'3rd day'!B52,'4thday'!B52,'5th to 15th day'!B52,'16th to 17th day'!B52,'18th to 22th day'!B52,)</f>
        <v>148</v>
      </c>
      <c r="B52">
        <f>SUM('1st day'!E52,'2nd day'!C52,'3rd day'!C52,'4thday'!C52,'5th to 15th day'!C52,'16th to 17th day'!C52,'18th to 22th day'!C52)</f>
        <v>1</v>
      </c>
      <c r="C52" s="1">
        <f>SUM('18th to 22th day'!G52,'16th to 17th day'!G52,'5th to 15th day'!G52,'4thday'!G52,'3rd day'!G52,'2nd day'!G52,'1st day'!I52,)</f>
        <v>1495</v>
      </c>
      <c r="D52" t="s">
        <v>21</v>
      </c>
      <c r="H52" s="22" t="s">
        <v>21</v>
      </c>
      <c r="I52" s="21">
        <v>1</v>
      </c>
      <c r="J52" s="21">
        <v>148</v>
      </c>
      <c r="K52" s="21">
        <v>1495</v>
      </c>
    </row>
    <row r="53" spans="1:11" x14ac:dyDescent="0.35">
      <c r="A53" s="5">
        <f>SUM('1st day'!D53,'2nd day'!B53,'3rd day'!B53,'4thday'!B53,'5th to 15th day'!B53,'16th to 17th day'!B53,'18th to 22th day'!B53,)</f>
        <v>148</v>
      </c>
      <c r="B53">
        <f>SUM('1st day'!E53,'2nd day'!C53,'3rd day'!C53,'4thday'!C53,'5th to 15th day'!C53,'16th to 17th day'!C53,'18th to 22th day'!C53)</f>
        <v>1</v>
      </c>
      <c r="C53" s="1">
        <f>SUM('18th to 22th day'!G53,'16th to 17th day'!G53,'5th to 15th day'!G53,'4thday'!G53,'3rd day'!G53,'2nd day'!G53,'1st day'!I53,)</f>
        <v>1495</v>
      </c>
      <c r="D53" t="s">
        <v>126</v>
      </c>
      <c r="H53" s="22" t="s">
        <v>20</v>
      </c>
      <c r="I53" s="21">
        <v>1</v>
      </c>
      <c r="J53" s="21">
        <v>148</v>
      </c>
      <c r="K53" s="21">
        <v>1415</v>
      </c>
    </row>
    <row r="54" spans="1:11" x14ac:dyDescent="0.35">
      <c r="H54" s="22" t="s">
        <v>127</v>
      </c>
      <c r="I54" s="21">
        <v>233</v>
      </c>
      <c r="J54" s="21">
        <v>8361</v>
      </c>
      <c r="K54" s="21">
        <v>87025</v>
      </c>
    </row>
    <row r="60" spans="1:11" x14ac:dyDescent="0.35">
      <c r="A60" s="5">
        <f>MAX('Summary month'!A4:A53)</f>
        <v>183</v>
      </c>
      <c r="B60" s="5">
        <f>MAX('Summary month'!B4:B53)</f>
        <v>17</v>
      </c>
      <c r="C60" s="1">
        <f>MAX('Summary month'!C4:C53)</f>
        <v>2085</v>
      </c>
      <c r="D60" t="s">
        <v>88</v>
      </c>
    </row>
    <row r="61" spans="1:11" x14ac:dyDescent="0.35">
      <c r="A61">
        <f>MIN('Summary month'!A4:A53)</f>
        <v>148</v>
      </c>
      <c r="B61">
        <f>MIN('Summary month'!B4:B53)</f>
        <v>1</v>
      </c>
      <c r="C61" s="1">
        <f>MIN('Summary month'!C4:C53)</f>
        <v>1415</v>
      </c>
      <c r="D61" t="s">
        <v>89</v>
      </c>
    </row>
    <row r="62" spans="1:11" x14ac:dyDescent="0.35">
      <c r="A62">
        <f>SUM('Summary month'!A4:A53)</f>
        <v>8361</v>
      </c>
      <c r="B62">
        <f>SUM('Summary month'!B4:B53)</f>
        <v>233</v>
      </c>
      <c r="C62" s="1">
        <f>SUM('Summary month'!C4:C53)</f>
        <v>87025</v>
      </c>
      <c r="D62" t="s">
        <v>90</v>
      </c>
    </row>
    <row r="63" spans="1:11" x14ac:dyDescent="0.35">
      <c r="A63">
        <f>AVERAGE('Summary month'!A4:A53)</f>
        <v>167.22</v>
      </c>
      <c r="B63">
        <f>AVERAGE('Summary month'!B4:B53)</f>
        <v>4.66</v>
      </c>
      <c r="C63" s="1">
        <f>AVERAGE('Summary month'!C4:C53)</f>
        <v>1740.5</v>
      </c>
      <c r="D63" t="s">
        <v>91</v>
      </c>
    </row>
  </sheetData>
  <mergeCells count="2">
    <mergeCell ref="A2:C2"/>
    <mergeCell ref="A1:C1"/>
  </mergeCells>
  <conditionalFormatting sqref="C4:C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217179-9D03-4413-A60A-ECA1C7A982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1st day</vt:lpstr>
      <vt:lpstr>2nd day</vt:lpstr>
      <vt:lpstr>3rd day</vt:lpstr>
      <vt:lpstr>4thday</vt:lpstr>
      <vt:lpstr>5th to 15th day</vt:lpstr>
      <vt:lpstr>16th to 17th day</vt:lpstr>
      <vt:lpstr>18th to 22th day</vt:lpstr>
      <vt:lpstr>Summary 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Mitz Paula Nieves</dc:creator>
  <cp:lastModifiedBy>Mitz Paula Nieves</cp:lastModifiedBy>
  <dcterms:created xsi:type="dcterms:W3CDTF">2024-06-14T05:51:47Z</dcterms:created>
  <dcterms:modified xsi:type="dcterms:W3CDTF">2024-07-08T05:33:30Z</dcterms:modified>
</cp:coreProperties>
</file>